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 data - i8k,o1k,c36" sheetId="1" r:id="rId5"/>
  </sheets>
  <definedNames/>
  <calcPr/>
</workbook>
</file>

<file path=xl/sharedStrings.xml><?xml version="1.0" encoding="utf-8"?>
<sst xmlns="http://schemas.openxmlformats.org/spreadsheetml/2006/main" count="1050" uniqueCount="164">
  <si>
    <t>PIC: Luyen Ngo</t>
  </si>
  <si>
    <t xml:space="preserve">Decode </t>
  </si>
  <si>
    <t>MI300 Moreh-vLLM
ISL: 8192
OSL: 1024
NUM_PROMPTS:8
Rank: 0
All Steps</t>
  </si>
  <si>
    <t>Color Profile</t>
  </si>
  <si>
    <t>MI300 Moreh-vLLM
ISL: 8192
OSL: 1024
NUM_PROMPTS:8
Rank: 1
All Steps</t>
  </si>
  <si>
    <t>MI300 Moreh-vLLM
ISL: 8192
OSL: 1024
NUM_PROMPTS:8
Rank: 2
All Steps</t>
  </si>
  <si>
    <t>MI300 Moreh-vLLM
ISL: 8192
OSL: 1024
NUM_PROMPTS:8
Rank: 3
All Steps</t>
  </si>
  <si>
    <t>MI300 Moreh-vLLM
ISL: 8192
OSL: 1024
NUM_PROMPTS:8
Rank: 4
All Steps</t>
  </si>
  <si>
    <t>MI300 Moreh-vLLM
ISL: 8192
OSL: 1024
NUM_PROMPTS:8
Rank: 5
All Steps</t>
  </si>
  <si>
    <t>MI300 Moreh-vLLM
ISL: 8192
OSL: 1024
NUM_PROMPTS:8
Rank: 6
All Steps</t>
  </si>
  <si>
    <t>MI300 Moreh-vLLM
ISL: 8192
OSL: 1024
NUM_PROMPTS:8
Rank: 7
All Steps</t>
  </si>
  <si>
    <t>Name</t>
  </si>
  <si>
    <t># Calls</t>
  </si>
  <si>
    <t>Avg Time (µs)</t>
  </si>
  <si>
    <t>Time (ms)</t>
  </si>
  <si>
    <t>Proportion (%)</t>
  </si>
  <si>
    <t>Attention</t>
  </si>
  <si>
    <t>name</t>
  </si>
  <si>
    <t>calls</t>
  </si>
  <si>
    <t>avg_us</t>
  </si>
  <si>
    <t>total_ms</t>
  </si>
  <si>
    <t>Indexer</t>
  </si>
  <si>
    <t/>
  </si>
  <si>
    <t>ncclDevKernel_Generic_2(ncclDevKernelArgsStorage&lt;4096ul&gt;)</t>
  </si>
  <si>
    <t>Linear</t>
  </si>
  <si>
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</si>
  <si>
    <t>MoE</t>
  </si>
  <si>
    <t>void ck::kernel_moe_gemm&lt;ck::GridwiseMoeGemmBlockScale&lt;ck::tensor_layout::gemm::RowMajor, ck::tensor_layout::gemm::ColumnMajor, ck::Tuple&lt;ck::tensor_layout::gemm::RowMajor&gt;, ck::tensor_layout::gemm::RowMajor, ck::f8_fnuz_t, ck::f8_fnuz_t, float, float, ck::Tuple&lt;float&gt;, unsigned short, ck::tensor_operation::element_wise::PassThrough, ck::tensor_operation::element_wise::PassThrough, MulABScaleExpertWeightA8W8blkscale,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ck::Sequence&lt;2, 1, 1, 1&gt;, (ck::BlockGemmPipelineScheduler)0, (ck::BlockGemmPipelineVersion)0, 1, false, true, false, false, int, ck::f8_fnuz_t, ck::f8_fnuz_t, ck::f8_fnuz_t, ck::f8_fnuz_t, true&gt;, true, (ck::InMemoryDataOperationEnum)0, 2, (ck::TailNumber)1&gt;(ck::GridwiseMoeGemmBlockScale&lt;ck::tensor_layout::gemm::RowMajor, ck::tensor_layout::gemm::ColumnMajor, ck::Tuple&lt;ck::tensor_layout::gemm::RowMajor&gt;, ck::tensor_layout::gemm::RowMajor, ck::f8_fnuz_t, ck::f8_fnuz_t, float, float, ck::Tuple&lt;float&gt;, unsigned short, ck::tensor_operation::element_wise::PassThrough, ck::tensor_operation::element_wise::PassThrough, MulABScaleExpertWeightA8W8blkscale,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ck::Sequence&lt;2, 1, 1, 1&gt;, (ck::BlockGemmPipelineScheduler)0, (ck::BlockGemmPipelineVersion)0, 1, false, true, false, false, int, ck::f8_fnuz_t, ck::f8_fnuz_t, ck::f8_fnuz_t, ck::f8_fnuz_t, true&gt;::Argument)</t>
  </si>
  <si>
    <t>Communication</t>
  </si>
  <si>
    <t>aiter::mla_a8w8_qh128_m32x4_n16x2_msk1</t>
  </si>
  <si>
    <t>void vllm::topKPerRowDecode&lt;1024, true, false, true&gt;(float const*, int const*, int*, int, int, int, int, int, float*, int, int const*)</t>
  </si>
  <si>
    <t>void ck::kernel_moe_gemm&lt;ck::GridwiseMoeGemmBlockScale&lt;ck::tensor_layout::gemm::RowMajor, ck::tensor_layout::gemm::ColumnMajor, ck::Tuple&lt;ck::tensor_layout::gemm::RowMajor&gt;, ck::tensor_layout::gemm::RowMajor, ck::f8_fnuz_t, ck::f8_fnuz_t, float, float, ck::Tuple&lt;float&gt;, unsigned short, ck::tensor_operation::element_wise::PassThrough, ck::tensor_operation::element_wise::PassThrough, MulABScaleExpertWeightA8W8blkscale,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4, 1, 64&gt;, ck::Sequence&lt;2, 1, 1, 1&gt;, (ck::BlockGemmPipelineScheduler)0, (ck::BlockGemmPipelineVersion)0, 0, false, false, false, true, int, ck::f8_fnuz_t, ck::f8_fnuz_t, ck::f8_fnuz_t, ck::f8_fnuz_t, true&gt;, true, (ck::InMemoryDataOperationEnum)1, 2, (ck::TailNumber)1&gt;(ck::GridwiseMoeGemmBlockScale&lt;ck::tensor_layout::gemm::RowMajor, ck::tensor_layout::gemm::ColumnMajor, ck::Tuple&lt;ck::tensor_layout::gemm::RowMajor&gt;, ck::tensor_layout::gemm::RowMajor, ck::f8_fnuz_t, ck::f8_fnuz_t, float, float, ck::Tuple&lt;float&gt;, unsigned short, ck::tensor_operation::element_wise::PassThrough, ck::tensor_operation::element_wise::PassThrough, MulABScaleExpertWeightA8W8blkscale,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4, 1, 64&gt;, ck::Sequence&lt;2, 1, 1, 1&gt;, (ck::BlockGemmPipelineScheduler)0, (ck::BlockGemmPipelineVersion)0, 0, false, false, false, true, int, ck::f8_fnuz_t, ck::f8_fnuz_t, ck::f8_fnuz_t, ck::f8_fnuz_t, true&gt;::Argument)</t>
  </si>
  <si>
    <t>_ZN5aiter37dynamic_per_group_scaled_quant_kernelIDF16bDB8_Li32EEEvPT0_PfPKT_PKfiliibPKii</t>
  </si>
  <si>
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</si>
  <si>
    <t>aiter::fmoe_bf16_blockscaleFp8_g1u1_vs_silu_1tg_ps_32x256</t>
  </si>
  <si>
    <t>void ck_tile::kentry&lt;2, ck_tile::MoeSortingKernel&lt;ck_tile::MoeSortingProblemEx&lt;int, float, 2, true, true, false, true, 0&gt; &gt;, ck_tile::MoeSortingKernel&lt;ck_tile::MoeSortingProblemEx&lt;int, float, 2, true, true, false, true, 0&gt; &gt;::Kargs&gt;(ck_tile::MoeSortingKernel&lt;ck_tile::MoeSortingProblemEx&lt;int, float, 2, true, true, false, true, 0&gt; &gt;::Kargs)</t>
  </si>
  <si>
    <t>_ZN5aiter24add_rmsnorm_quant_kernelIDF16bDF16bLi256ELi24ELb1ELb0ELb1ELi1EEEvPT0_PT_PfS4_S4_S4_diiiiiiib</t>
  </si>
  <si>
    <t>_ZN5aiter37dynamic_per_token_scaled_quant_kernelIDF16bDB8_Li32EEEvPT0_PfPT_PKfiPKii</t>
  </si>
  <si>
    <t>_fwd_kernel_stage2_asm</t>
  </si>
  <si>
    <t>void ck::kernel_gemm_xdl_cshuffle_v3_multi_d_blockscale_b_preshuffle&lt;ck::GridwiseGemmMultiD_blockscale_xdl_cshuffle_v3_b_preshuffle&lt;ck::tensor_layout::gemm::RowMajor, ck::tensor_layout::gemm::ColumnMajor, ck::Tuple&lt;&gt;, ck::tensor_layout::gemm::RowMajor, ck::f8_fnuz_t, ck::f8_fnuz_t, float, float, ck::Tuple&lt;&gt;, unsigned short, ck::tensor_operation::element_wise::PassThrough, ck::tensor_operation::element_wise::PassThrough, ck::tensor_operation::element_wise::PassThrough, (ck::tensor_operation::device::GemmSpecialization)7, 256, 1, 128, 128, 32, 32, 1024, 16, 16, 16, 16, 1, 1, ck::Sequence&lt;32, 8, 1&gt;, ck::Sequence&lt;1, 0, 2&gt;, ck::Sequence&lt;1, 0, 2&gt;, 2, 16, 16, false, 0, ck::Sequence&lt;16, 16, 1&gt;, ck::Sequence&lt;1, 0, 2&gt;, ck::Sequence&lt;1, 0, 2&gt;, 2, 16, 16, false, 0, 1, 1, ck::Sequence&lt;1, 32, 1, 8&gt;, ck::Sequence&lt;4&gt;, (ck::BlockGemmPipelineScheduler)0, (ck::BlockGemmPipelineVersion)0, ck::f8_fnuz_t, ck::f8_fnuz_t, ck::f8_fnuz_t, ck::f8_fnuz_t&gt;, false, (ck::InMemoryDataOperationEnum)0, 2, (ck::TailNumber)1&gt;(ck::GridwiseGemmMultiD_blockscale_xdl_cshuffle_v3_b_preshuffle&lt;ck::tensor_layout::gemm::RowMajor, ck::tensor_layout::gemm::ColumnMajor, ck::Tuple&lt;&gt;, ck::tensor_layout::gemm::RowMajor, ck::f8_fnuz_t, ck::f8_fnuz_t, float, float, ck::Tuple&lt;&gt;, unsigned short, ck::tensor_operation::element_wise::PassThrough, ck::tensor_operation::element_wise::PassThrough, ck::tensor_operation::element_wise::PassThrough, (ck::tensor_operation::device::GemmSpecialization)7, 256, 1, 128, 128, 32, 32, 1024, 16, 16, 16, 16, 1, 1, ck::Sequence&lt;32, 8, 1&gt;, ck::Sequence&lt;1, 0, 2&gt;, ck::Sequence&lt;1, 0, 2&gt;, 2, 16, 16, false, 0, ck::Sequence&lt;16, 16, 1&gt;, ck::Sequence&lt;1, 0, 2&gt;, ck::Sequence&lt;1, 0, 2&gt;, 2, 16, 16, false, 0, 1, 1, ck::Sequence&lt;1, 32, 1, 8&gt;, ck::Sequence&lt;4&gt;, (ck::BlockGemmPipelineScheduler)0, (ck::BlockGemmPipelineVersion)0, ck::f8_fnuz_t, ck::f8_fnuz_t, ck::f8_fnuz_t, ck::f8_fnuz_t&gt;::Argument)</t>
  </si>
  <si>
    <t>_batched_gemm_a8w8_a_per_token_group_prequant_w_per_batched_tensor_quant_kernel_HAS_BIAS_0_BLOCK_SIZE_M_16_BLOCK_SIZE_N_128_BLOCK_SIZE_K_128_GROUP_SIZE_M_1_EVEN_K_1_EVEN_MN_0_cache_modifier_CG</t>
  </si>
  <si>
    <t>void at::native::elementwise_kernel_manual_unroll&lt;128, 8, at::native::gpu_kernel_impl_nocast&lt;at::native::float8_copy_kernel_cuda(at::TensorIteratorBase&amp;)::{lambda(c10::Float8_e4m3fnuz)#1}&gt;(at::TensorIteratorBase&amp;, at::native::float8_copy_kernel_cuda(at::TensorIteratorBase&amp;)::{lambda(c10::Float8_e4m3fnuz)#1} const&amp;)::{lambda(int, bool)#1}&gt;(int, at::native::gpu_kernel_impl_nocast&lt;at::native::float8_copy_kernel_cuda(at::TensorIteratorBase&amp;)::{lambda(c10::Float8_e4m3fnuz)#1}&gt;(at::TensorIteratorBase&amp;, at::native::float8_copy_kernel_cuda(at::TensorIteratorBase&amp;)::{lambda(c10::Float8_e4m3fnuz)#1} const&amp;)::{lambda(int, bool)#1})</t>
  </si>
  <si>
    <t>void vllm::rotary_embedding_kernel&lt;c10::BFloat16, c10::BFloat16, false&gt;(long const*, c10::BFloat16*, c10::BFloat16*, c10::BFloat16 const*, int, long, long, long, int, int, int, long, bool)</t>
  </si>
  <si>
    <t>void wvSplitK_hf_sml_&lt;__hip_bfloat16, 64, 1, 16, 8, 4, 2&gt;(int, int, int, int, int, int, __hip_bfloat16 const*, __hip_bfloat16 const*, __hip_bfloat16 const*, __hip_bfloat16*, int, int)</t>
  </si>
  <si>
    <t>_ZN5aiter37dynamic_per_token_scaled_quant_kernelIDF16bDB8_Li8EEEvPT0_PfPT_PKfiPKii</t>
  </si>
  <si>
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</si>
  <si>
    <t>void aiter::grouped_topk_kernel&lt;c10::BFloat16, float __vector(4), 1, true, true, false&gt;(c10::BFloat16*, c10::BFloat16 const*, float*, int*, unsigned long, int, int, int, int, float)</t>
  </si>
  <si>
    <t>_batched_gemm_a8w8_a_per_token_group_prequant_w_per_batched_tensor_quant_kernel_HAS_BIAS_0_BLOCK_SIZE_M_16_BLOCK_SIZE_N_128_BLOCK_SIZE_K_128_GROUP_SIZE_M_1_EVEN_K_0_EVEN_MN_0_cache_modifier_CG</t>
  </si>
  <si>
    <t>triton_poi_fused__to_copy_cat_clamp_mul_reciprocal_view_0</t>
  </si>
  <si>
    <t>triton_poi_fused_mul_silu_slice_0</t>
  </si>
  <si>
    <t>_ZN5aiter37dynamic_per_token_scaled_quant_kernelIDF16bDB8_Li0EEEvPT0_PfPT_PKfiPKii</t>
  </si>
  <si>
    <t>void wvSplitK_hf_sml_&lt;__hip_bfloat16, 64, 2, 16, 8, 2, 1&gt;(int, int, int, int, int, int, __hip_bfloat16 const*, __hip_bfloat16 const*, __hip_bfloat16 const*, __hip_bfloat16*, int, int)</t>
  </si>
  <si>
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</si>
  <si>
    <t>void wvSplitK_hf_sml_&lt;__hip_bfloat16, 64, 4, 16, 8, 2, 2&gt;(int, int, int, int, int, int, __hip_bfloat16 const*, __hip_bfloat16 const*, __hip_bfloat16 const*, __hip_bfloat16*, int, int)</t>
  </si>
  <si>
    <t>_ZN5aiter23fused_qk_rmsnorm_kernelIDF16bLi256ELi8ELb1ELi1EEEvPT_S2_PKS1_S4_S4_S4_ffiiiiiii</t>
  </si>
  <si>
    <t>triton_poi_fused_add_0</t>
  </si>
  <si>
    <t>__amd_rocclr_copyBuffer</t>
  </si>
  <si>
    <t>void vllm::concat_and_cache_mla_kernel&lt;__hip_bfloat16, unsigned char, (vllm::Fp8KVCacheDataType)1&gt;(__hip_bfloat16 const*, __hip_bfloat16 const*, unsigned char*, long const*, int, int, int, int, int, int, int, float const*)</t>
  </si>
  <si>
    <t>triton_poi_fused_2</t>
  </si>
  <si>
    <t>void get_paged_kv_indices_impl&lt;64, 4&gt;(int const*, int const*, int const*, int*, int const*, int, int, int)</t>
  </si>
  <si>
    <t>triton_poi_fused_1</t>
  </si>
  <si>
    <t>void at::native::vectorized_elementwise_kernel&lt;4, at::native::FillFunctor&lt;float&gt;, std::array&lt;char*, 1ul&gt; &gt;(int, at::native::FillFunctor&lt;float&gt;, std::array&lt;char*, 1ul&gt;)</t>
  </si>
  <si>
    <t>void at::native::tensor_kernel_scan_innermost_dim&lt;float, std::plus&lt;float&gt; &gt;(float*, float const*, unsigned int, unsigned int, unsigned int, float, std::plus&lt;float&gt;)</t>
  </si>
  <si>
    <t>void at::native::vectorized_elementwise_kernel&lt;4, at::native::FillFunctor&lt;int&gt;, std::array&lt;char*, 1ul&gt; &gt;(int, at::native::FillFunctor&lt;int&gt;, std::array&lt;char*, 1ul&gt;)</t>
  </si>
  <si>
    <t>_batched_gemm_a8w8_a_per_token_group_prequant_w_per_batched_tensor_quant_kernel_HAS_BIAS_0_BLOCK_SIZE_M_32_BLOCK_SIZE_N_128_BLOCK_SIZE_K_128_GROUP_SIZE_M_1_EVEN_K_1_EVEN_MN_1_cache_modifier_CG</t>
  </si>
  <si>
    <t>_indexer_k_quant_and_cache_kernel</t>
  </si>
  <si>
    <t>void per_token_group_quant_8bit_kernel&lt;c10::BFloat16, c10::Float8_e4m3fnuz, false, true, float&gt;(c10::BFloat16 const*, void*, float*, int, int, int, float, float, float, int, int)</t>
  </si>
  <si>
    <t>_batched_gemm_a8w8_a_per_token_group_prequant_w_per_batched_tensor_quant_kernel_HAS_BIAS_0_BLOCK_SIZE_M_32_BLOCK_SIZE_N_128_BLOCK_SIZE_K_128_GROUP_SIZE_M_1_EVEN_K_0_EVEN_MN_0_cache_modifier_CG</t>
  </si>
  <si>
    <t>_batched_gemm_a8w8_a_per_token_group_prequant_w_per_batched_tensor_quant_kernel_HAS_BIAS_0_BLOCK_SIZE_M_32_BLOCK_SIZE_N_128_BLOCK_SIZE_K_128_GROUP_SIZE_M_1_EVEN_K_0_EVEN_MN_1_cache_modifier_CG</t>
  </si>
  <si>
    <t>triton_per_fused__to_copy_native_layer_norm_slice_1</t>
  </si>
  <si>
    <t>triton_poi_fused_mul_slice_squeeze_unsqueeze_view_4</t>
  </si>
  <si>
    <t>_batched_gemm_a8w8_a_per_token_group_prequant_w_per_batched_tensor_quant_kernel_HAS_BIAS_0_BLOCK_SIZE_M_32_BLOCK_SIZE_N_128_BLOCK_SIZE_K_128_GROUP_SIZE_M_1_EVEN_K_1_EVEN_MN_0_cache_modifier_CG</t>
  </si>
  <si>
    <t>triton_poi_fused_3</t>
  </si>
  <si>
    <t>void vllm::topKPerRowDecode&lt;512, true, true, false&gt;(float const*, int const*, int*, int, int, int, int, int, float*, int, int const*)</t>
  </si>
  <si>
    <t>_gluon_deepgemm_fp8_paged_mqa_logits_preshuffle</t>
  </si>
  <si>
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64, 256, 16, 16, 16, 16, 4, 2, ck::Sequence&lt;16, 16, 1&gt;, ck::Sequence&lt;1, 0, 2&gt;, ck::Sequence&lt;1, 0, 2&gt;, 2, 16, 16, false, 0, ck::Sequence&lt;16, 16, 1&gt;, ck::Sequence&lt;1, 0, 2&gt;, ck::Sequence&lt;1, 0, 2&gt;, 2, 16, 16, false, 0, 2, 2, ck::Sequence&lt;1, 32, 1, 8&gt;, ck::Sequence&lt;8, 8,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64, 256, 16, 16, 16, 16, 4, 2, ck::Sequence&lt;16, 16, 1&gt;, ck::Sequence&lt;1, 0, 2&gt;, ck::Sequence&lt;1, 0, 2&gt;, 2, 16, 16, false, 0, ck::Sequence&lt;16, 16, 1&gt;, ck::Sequence&lt;1, 0, 2&gt;, ck::Sequence&lt;1, 0, 2&gt;, 2, 16, 16, false, 0, 2, 2, ck::Sequence&lt;1, 32, 1, 8&gt;, ck::Sequence&lt;8, 8, 1&gt;, (ck::BlockGemmPipelineScheduler)0, (ck::BlockGemmPipelineVersion)0, ck::f8_fnuz_t, ck::f8_fnuz_t, ck::f8_fnuz_t, ck::f8_fnuz_t&gt;::Argument)</t>
  </si>
  <si>
    <t>void ck_tile::kentry&lt;2, ck_tile::MoeSortingMultiPhaseKernel_P23&lt;ck_tile::MoeSortingProblemMp&lt;int, float, unsigned char, 16, true, false, true&gt; &gt;, ck_tile::MoeSortingMultiPhaseKernel_P23&lt;ck_tile::MoeSortingProblemMp&lt;int, float, unsigned char, 16, true, false, true&gt; &gt;::Kargs&gt;(ck_tile::MoeSortingMultiPhaseKernel_P23&lt;ck_tile::MoeSortingProblemMp&lt;int, float, unsigned char, 16, true, false, true&gt; &gt;::Kargs)</t>
  </si>
  <si>
    <t>void rocprim::ROCPRIM_400200_NS::detail::trampoline_kernel&lt;rocprim::ROCPRIM_400200_NS::detail::wrapped_scan_config&lt;rocprim::ROCPRIM_400200_NS::default_config, int&gt;, (rocprim::ROCPRIM_400200_NS::detail::target_arch)942, rocprim::ROCPRIM_400200_NS::detail::scan_impl&lt;(rocprim::ROCPRIM_400200_NS::detail::lookback_scan_determinism)0, false, false, rocprim::ROCPRIM_400200_NS::default_config, int const*, int*, int, std::plus&lt;int&gt;, int&gt;(void*, unsigned long&amp;, int const*, int*, int, unsigned long, std::plus&lt;int&gt;, ihipStream_t*, bool)::{lambda(auto:1, auto:2)#1}::operator()&lt;std::integral_constant&lt;bool, false&gt;, std::integral_constant&lt;bool, true&gt; &gt;(std::integral_constant&lt;bool, false&gt;, std::integral_constant&lt;bool, true&gt;) const::{lambda(auto:1)#2}, rocprim::ROCPRIM_400200_NS::detail::default_config_selector&gt;(rocprim::ROCPRIM_400200_NS::detail::scan_impl&lt;(rocprim::ROCPRIM_400200_NS::detail::lookback_scan_determinism)0, false, false, rocprim::ROCPRIM_400200_NS::default_config, int const*, int*, int, std::plus&lt;int&gt;, int&gt;(void*, unsigned long&amp;, int const*, int*, int, unsigned long, std::plus&lt;int&gt;, ihipStream_t*, bool)::{lambda(auto:1, auto:2)#1}::operator()&lt;std::integral_constant&lt;bool, false&gt;, std::integral_constant&lt;bool, true&gt; &gt;(std::integral_constant&lt;bool, false&gt;, std::integral_constant&lt;bool, true&gt;) const::{lambda(auto:1)#2})</t>
  </si>
  <si>
    <t>void at::native::unrolled_elementwise_kernel&lt;at::native::CUDAFunctor_add&lt;int&gt;, std::array&lt;char*, 3ul&gt;, 4, TrivialOffsetCalculator&lt;2, unsigned int&gt;, TrivialOffsetCalculator&lt;1, unsigned int&gt;, at::native::memory::LoadWithoutCast, at::native::memory::StoreWithoutCast&gt;(int, at::native::CUDAFunctor_add&lt;int&gt;, std::array&lt;char*, 3ul&gt;, TrivialOffsetCalculator&lt;2, unsigned int&gt;, TrivialOffsetCalculator&lt;1, unsigned int&gt;, at::native::memory::LoadWithoutCast, at::native::memory::StoreWithoutCast)</t>
  </si>
  <si>
    <t>void at::native::vectorized_elementwise_kernel&lt;4, at::native::FillFunctor&lt;long&gt;, std::array&lt;char*, 1ul&gt; &gt;(int, at::native::FillFunctor&lt;long&gt;, std::array&lt;char*, 1ul&gt;)</t>
  </si>
  <si>
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128, 64, 256, 16, 16, 16, 16, 4, 2, ck::Sequence&lt;16, 16, 1&gt;, ck::Sequence&lt;1, 0, 2&gt;, ck::Sequence&lt;1, 0, 2&gt;, 2, 16, 16, false, 0, ck::Sequence&lt;16, 16, 1&gt;, ck::Sequence&lt;1, 0, 2&gt;, ck::Sequence&lt;1, 0, 2&gt;, 2, 16, 16, false, 0, 2, 2, ck::Sequence&lt;1, 32, 1, 8&gt;, ck::Sequence&lt;8, 8,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128, 64, 256, 16, 16, 16, 16, 4, 2, ck::Sequence&lt;16, 16, 1&gt;, ck::Sequence&lt;1, 0, 2&gt;, ck::Sequence&lt;1, 0, 2&gt;, 2, 16, 16, false, 0, ck::Sequence&lt;16, 16, 1&gt;, ck::Sequence&lt;1, 0, 2&gt;, ck::Sequence&lt;1, 0, 2&gt;, 2, 16, 16, false, 0, 2, 2, ck::Sequence&lt;1, 32, 1, 8&gt;, ck::Sequence&lt;8, 8, 1&gt;, (ck::BlockGemmPipelineScheduler)0, (ck::BlockGemmPipelineVersion)0, ck::f8_fnuz_t, ck::f8_fnuz_t, ck::f8_fnuz_t, ck::f8_fnuz_t&gt;::Argument)</t>
  </si>
  <si>
    <t>void rocprim::ROCPRIM_400200_NS::detail::trampoline_kernel&lt;rocprim::ROCPRIM_400200_NS::detail::wrapped_merge_sort_block_merge_config&lt;rocprim::ROCPRIM_400200_NS::default_config, float, at::cuda::cub::detail::OpaqueType&lt;8&gt; &gt;, (rocprim::ROCPRIM_400200_NS::detail::target_arch)942, rocprim::ROCPRIM_400200_NS::detail::merge_sort_block_merge_impl&lt;rocprim::ROCPRIM_400200_NS::default_config, float*, at::cuda::cub::detail::OpaqueType&lt;8&gt;*, unsigned int, rocprim::ROCPRIM_400200_NS::detail::radix_merge_compare&lt;false, false, float, rocprim::ROCPRIM_400200_NS::identity_decomposer&gt; &gt;(float*, at::cuda::cub::detail::OpaqueType&lt;8&gt;*, unsigned int, unsigned int, rocprim::ROCPRIM_400200_NS::detail::radix_merge_compare&lt;false, false, float, rocprim::ROCPRIM_400200_NS::identity_decomposer&gt;, ihipStream_t*, bool, std::iterator_traits&lt;float*&gt;::value_type*, std::iterator_traits&lt;at::cuda::cub::detail::OpaqueType&lt;8&gt;*&gt;::value_type*, unsigned int*, rocprim::ROCPRIM_400200_NS::detail::vsmem_t)::{lambda(auto:1, auto:2, auto:3, auto:4)#1}::operator()&lt;float*, float*, at::cuda::cub::detail::OpaqueType&lt;8&gt;*, at::cuda::cub::detail::OpaqueType&lt;8&gt;*&gt;(float*, float*, at::cuda::cub::detail::OpaqueType&lt;8&gt;*, at::cuda::cub::detail::OpaqueType&lt;8&gt;*) const::{lambda(auto:1)#2}, rocprim::ROCPRIM_400200_NS::detail::merge_mergepath_config_selector&gt;(rocprim::ROCPRIM_400200_NS::detail::merge_sort_block_merge_impl&lt;rocprim::ROCPRIM_400200_NS::default_config, float*, at::cuda::cub::detail::OpaqueType&lt;8&gt;*, unsigned int, rocprim::ROCPRIM_400200_NS::detail::radix_merge_compare&lt;false, false, float, rocprim::ROCPRIM_400200_NS::identity_decomposer&gt; &gt;(float*, at::cuda::cub::detail::OpaqueType&lt;8&gt;*, unsigned int, unsigned int, rocprim::ROCPRIM_400200_NS::detail::radix_merge_compare&lt;false, false, float, rocprim::ROCPRIM_400200_NS::identity_decomposer&gt;, ihipStream_t*, bool, std::iterator_traits&lt;float*&gt;::value_type*, std::iterator_traits&lt;at::cuda::cub::detail::OpaqueType&lt;8&gt;*&gt;::value_type*, unsigned int*, rocprim::ROCPRIM_400200_NS::detail::vsmem_t)::{lambda(auto:1, auto:2, auto:3, auto:4)#1}::operator()&lt;float*, float*, at::cuda::cub::detail::OpaqueType&lt;8&gt;*, at::cuda::cub::detail::OpaqueType&lt;8&gt;*&gt;(float*, float*, at::cuda::cub::detail::OpaqueType&lt;8&gt;*, at::cuda::cub::detail::OpaqueType&lt;8&gt;*) const::{lambda(auto:1)#2})</t>
  </si>
  <si>
    <t>void rocprim::ROCPRIM_400200_NS::detail::trampoline_kernel&lt;rocprim::ROCPRIM_400200_NS::detail::wrapped_merge_sort_block_merge_config&lt;rocprim::ROCPRIM_400200_NS::default_config, float, at::cuda::cub::detail::OpaqueType&lt;8&gt; &gt;, (rocprim::ROCPRIM_400200_NS::detail::target_arch)942, rocprim::ROCPRIM_400200_NS::detail::merge_sort_block_merge_impl&lt;rocprim::ROCPRIM_400200_NS::default_config, float*, at::cuda::cub::detail::OpaqueType&lt;8&gt;*, unsigned int, rocprim::ROCPRIM_400200_NS::detail::radix_merge_compare&lt;false, false, float, rocprim::ROCPRIM_400200_NS::identity_decomposer&gt; &gt;(float*, at::cuda::cub::detail::OpaqueType&lt;8&gt;*, unsigned int, unsigned int, rocprim::ROCPRIM_400200_NS::detail::radix_merge_compare&lt;false, false, float, rocprim::ROCPRIM_400200_NS::identity_decomposer&gt;, ihipStream_t*, bool, std::iterator_traits&lt;float*&gt;::value_type*, std::iterator_traits&lt;at::cuda::cub::detail::OpaqueType&lt;8&gt;*&gt;::value_type*, unsigned int*, rocprim::ROCPRIM_400200_NS::detail::vsmem_t)::{lambda(auto:1, auto:2, auto:3, auto:4)#1}::operator()&lt;float*, float*, at::cuda::cub::detail::OpaqueType&lt;8&gt;*, at::cuda::cub::detail::OpaqueType&lt;8&gt;*&gt;(float*, float*, at::cuda::cub::detail::OpaqueType&lt;8&gt;*, at::cuda::cub::detail::OpaqueType&lt;8&gt;*) const::{lambda(auto:1)#3}, rocprim::ROCPRIM_400200_NS::detail::merge_oddeven_config_selector&gt;(rocprim::ROCPRIM_400200_NS::detail::merge_sort_block_merge_impl&lt;rocprim::ROCPRIM_400200_NS::default_config, float*, at::cuda::cub::detail::OpaqueType&lt;8&gt;*, unsigned int, rocprim::ROCPRIM_400200_NS::detail::radix_merge_compare&lt;false, false, float, rocprim::ROCPRIM_400200_NS::identity_decomposer&gt; &gt;(float*, at::cuda::cub::detail::OpaqueType&lt;8&gt;*, unsigned int, unsigned int, rocprim::ROCPRIM_400200_NS::detail::radix_merge_compare&lt;false, false, float, rocprim::ROCPRIM_400200_NS::identity_decomposer&gt;, ihipStream_t*, bool, std::iterator_traits&lt;float*&gt;::value_type*, std::iterator_traits&lt;at::cuda::cub::detail::OpaqueType&lt;8&gt;*&gt;::value_type*, unsigned int*, rocprim::ROCPRIM_400200_NS::detail::vsmem_t)::{lambda(auto:1, auto:2, auto:3, auto:4)#1}::operator()&lt;float*, float*, at::cuda::cub::detail::OpaqueType&lt;8&gt;*, at::cuda::cub::detail::OpaqueType&lt;8&gt;*&gt;(float*, float*, at::cuda::cub::detail::OpaqueType&lt;8&gt;*, at::cuda::cub::detail::OpaqueType&lt;8&gt;*) const::{lambda(auto:1)#3})</t>
  </si>
  <si>
    <t>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</t>
  </si>
  <si>
    <t>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</t>
  </si>
  <si>
    <t>void at::native::(anonymous namespace)::cunn_SoftMaxForwardGmem&lt;4, float, float, float, at::native::(anonymous namespace)::SoftMaxForwardWithMulEpilogue, long&gt;(float*, float const*, long)</t>
  </si>
  <si>
    <t>void rocprim::ROCPRIM_400200_NS::detail::trampoline_kernel&lt;rocprim::ROCPRIM_400200_NS::detail::wrapped_merge_sort_block_merge_config&lt;rocprim::ROCPRIM_400200_NS::default_config, long, rocprim::ROCPRIM_400200_NS::empty_type&gt;, (rocprim::ROCPRIM_400200_NS::detail::target_arch)942, rocprim::ROCPRIM_400200_NS::detail::merge_sort_block_merge_impl&lt;rocprim::ROCPRIM_400200_NS::default_config, long*, rocprim::ROCPRIM_400200_NS::empty_type*, unsigned int, rocprim::ROCPRIM_400200_NS::detail::radix_merge_compare&lt;false, true, long, rocprim::ROCPRIM_400200_NS::identity_decomposer&gt; &gt;(long*, rocprim::ROCPRIM_400200_NS::empty_type*, unsigned int, unsigned int, rocprim::ROCPRIM_400200_NS::detail::radix_merge_compare&lt;false, true, long, rocprim::ROCPRIM_400200_NS::identity_decomposer&gt;, ihipStream_t*, bool, std::iterator_traits&lt;long*&gt;::value_type*, std::iterator_traits&lt;rocprim::ROCPRIM_400200_NS::empty_type*&gt;::value_type*, unsigned int*, rocprim::ROCPRIM_400200_NS::detail::vsmem_t)::{lambda(auto:1, auto:2, auto:3, auto:4)#1}::operator()&lt;long*, long*, rocprim::ROCPRIM_400200_NS::empty_type*, rocprim::ROCPRIM_400200_NS::empty_type*&gt;(long*, long*, rocprim::ROCPRIM_400200_NS::empty_type*, rocprim::ROCPRIM_400200_NS::empty_type*) const::{lambda(auto:1)#1}, rocprim::ROCPRIM_400200_NS::detail::merge_mergepath_partition_config_selector&gt;(rocprim::ROCPRIM_400200_NS::detail::merge_sort_block_merge_impl&lt;rocprim::ROCPRIM_400200_NS::default_config, long*, rocprim::ROCPRIM_400200_NS::empty_type*, unsigned int, rocprim::ROCPRIM_400200_NS::detail::radix_merge_compare&lt;false, true, long, rocprim::ROCPRIM_400200_NS::identity_decomposer&gt; &gt;(long*, rocprim::ROCPRIM_400200_NS::empty_type*, unsigned int, unsigned int, rocprim::ROCPRIM_400200_NS::detail::radix_merge_compare&lt;false, true, long, rocprim::ROCPRIM_400200_NS::identity_decomposer&gt;, ihipStream_t*, bool, std::iterator_traits&lt;long*&gt;::value_type*, std::iterator_traits&lt;rocprim::ROCPRIM_400200_NS::empty_type*&gt;::value_type*, unsigned int*, rocprim::ROCPRIM_400200_NS::detail::vsmem_t)::{lambda(auto:1, auto:2, auto:3, auto:4)#1}::operator()&lt;long*, long*, rocprim::ROCPRIM_400200_NS::empty_type*, rocprim::ROCPRIM_400200_NS::empty_type*&gt;(long*, long*, rocprim::ROCPRIM_400200_NS::empty_type*, rocprim::ROCPRIM_400200_NS::empty_type*) const::{lambda(auto:1)#1})</t>
  </si>
  <si>
    <t>_ZN7ck_tile6kentryILi1ENS_12Rmsnorm2dFwdINS_27Rmsnorm2dFwdPipelineOnePassINS_27Rmsnorm2dFwdPipelineProblemIDF16bDF16bfDF16bDF16bDF16bffNS_19Generic2dBlockShapeINS_8sequenceIJLi1ELi6144EEEENS5_IJLi1ELi256EEEENS5_IJLi1ELi8EEEEEENS_18Rmsnorm2dFwdTraitsILb1ELb0ELb0ELb0ELNS_21Rmsnorm2dFusedAddEnumE0ELNS_23Rmsnorm2dFusedQuantEnumE0ELNS_22Rmsnorm2dSensitiveEnumE0EEEEENS_33Rmsnorm2dFwdPipelineDefaultPolicyEEENS_17Default2DEpilogueINS_24Default2DEpilogueProblemIfDF16bLb0ELb1ELb0EEEvEEEEJNSM_5KargsEEEEvDpT1_</t>
  </si>
  <si>
    <t>void ck::kernel_gemm_xdl_cshuffle_v3_multi_d_blockscale_b_preshuffle&lt;ck::GridwiseGemmMultiD_blockscale_xdl_cshuffle_v3_b_preshuffle&lt;ck::tensor_layout::gemm::RowMajor, ck::tensor_layout::gemm::ColumnMajor, ck::Tuple&lt;&gt;, ck::tensor_layout::gemm::RowMajor, ck::f8_fnuz_t, ck::f8_fnuz_t, float, float, ck::Tuple&lt;&gt;, unsigned short, ck::tensor_operation::element_wise::PassThrough, ck::tensor_operation::element_wise::PassThrough, ck::tensor_operation::element_wise::PassThrough, (ck::tensor_operation::device::GemmSpecialization)0, 256, 1, 128, 128, 128, 128, 128, 16, 16, 16, 16, 4, 4, ck::Sequence&lt;8, 32, 1&gt;, ck::Sequence&lt;1, 0, 2&gt;, ck::Sequence&lt;1, 0, 2&gt;, 2, 16, 16, false, 0, ck::Sequence&lt;8, 32, 1&gt;, ck::Sequence&lt;1, 0, 2&gt;, ck::Sequence&lt;1, 0, 2&gt;, 2, 16, 16, false, 0, 1, 1, ck::Sequence&lt;1, 32, 1, 8&gt;, ck::Sequence&lt;4&gt;, (ck::BlockGemmPipelineScheduler)0, (ck::BlockGemmPipelineVersion)0, ck::f8_fnuz_t, ck::f8_fnuz_t, ck::f8_fnuz_t, ck::f8_fnuz_t&gt;, true, (ck::InMemoryDataOperationEnum)0, 2, (ck::TailNumber)1&gt;(ck::GridwiseGemmMultiD_blockscale_xdl_cshuffle_v3_b_preshuffle&lt;ck::tensor_layout::gemm::RowMajor, ck::tensor_layout::gemm::ColumnMajor, ck::Tuple&lt;&gt;, ck::tensor_layout::gemm::RowMajor, ck::f8_fnuz_t, ck::f8_fnuz_t, float, float, ck::Tuple&lt;&gt;, unsigned short, ck::tensor_operation::element_wise::PassThrough, ck::tensor_operation::element_wise::PassThrough, ck::tensor_operation::element_wise::PassThrough, (ck::tensor_operation::device::GemmSpecialization)0, 256, 1, 128, 128, 128, 128, 128, 16, 16, 16, 16, 4, 4, ck::Sequence&lt;8, 32, 1&gt;, ck::Sequence&lt;1, 0, 2&gt;, ck::Sequence&lt;1, 0, 2&gt;, 2, 16, 16, false, 0, ck::Sequence&lt;8, 32, 1&gt;, ck::Sequence&lt;1, 0, 2&gt;, ck::Sequence&lt;1, 0, 2&gt;, 2, 16, 16, false, 0, 1, 1, ck::Sequence&lt;1, 32, 1, 8&gt;, ck::Sequence&lt;4&gt;, (ck::BlockGemmPipelineScheduler)0, (ck::BlockGemmPipelineVersion)0, ck::f8_fnuz_t, ck::f8_fnuz_t, ck::f8_fnuz_t, ck::f8_fnuz_t&gt;::Argument)</t>
  </si>
  <si>
    <t>void ck::kernel_gemm_xdl_cshuffle_v3_multi_d_blockscale_b_preshuffle&lt;ck::GridwiseGemmMultiD_blockscale_xdl_cshuffle_v3_b_preshuffle&lt;ck::tensor_layout::gemm::RowMajor, ck::tensor_layout::gemm::ColumnMajor, ck::Tuple&lt;&gt;, ck::tensor_layout::gemm::RowMajor, ck::f8_fnuz_t, ck::f8_fnuz_t, float, float, ck::Tuple&lt;&gt;, unsigned short, ck::tensor_operation::element_wise::PassThrough, ck::tensor_operation::element_wise::PassThrough, ck::tensor_operation::element_wise::PassThrough, (ck::tensor_operation::device::GemmSpecialization)7, 256, 1, 128, 128, 128, 128, 128, 16, 16, 16, 16, 4, 4, ck::Sequence&lt;8, 32, 1&gt;, ck::Sequence&lt;1, 0, 2&gt;, ck::Sequence&lt;1, 0, 2&gt;, 2, 16, 16, false, 0, ck::Sequence&lt;8, 32, 1&gt;, ck::Sequence&lt;1, 0, 2&gt;, ck::Sequence&lt;1, 0, 2&gt;, 2, 16, 16, false, 0, 1, 1, ck::Sequence&lt;1, 32, 1, 8&gt;, ck::Sequence&lt;4&gt;, (ck::BlockGemmPipelineScheduler)0, (ck::BlockGemmPipelineVersion)0, ck::f8_fnuz_t, ck::f8_fnuz_t, ck::f8_fnuz_t, ck::f8_fnuz_t&gt;, true, (ck::InMemoryDataOperationEnum)0, 2, (ck::TailNumber)1&gt;(ck::GridwiseGemmMultiD_blockscale_xdl_cshuffle_v3_b_preshuffle&lt;ck::tensor_layout::gemm::RowMajor, ck::tensor_layout::gemm::ColumnMajor, ck::Tuple&lt;&gt;, ck::tensor_layout::gemm::RowMajor, ck::f8_fnuz_t, ck::f8_fnuz_t, float, float, ck::Tuple&lt;&gt;, unsigned short, ck::tensor_operation::element_wise::PassThrough, ck::tensor_operation::element_wise::PassThrough, ck::tensor_operation::element_wise::PassThrough, (ck::tensor_operation::device::GemmSpecialization)7, 256, 1, 128, 128, 128, 128, 128, 16, 16, 16, 16, 4, 4, ck::Sequence&lt;8, 32, 1&gt;, ck::Sequence&lt;1, 0, 2&gt;, ck::Sequence&lt;1, 0, 2&gt;, 2, 16, 16, false, 0, ck::Sequence&lt;8, 32, 1&gt;, ck::Sequence&lt;1, 0, 2&gt;, ck::Sequence&lt;1, 0, 2&gt;, 2, 16, 16, false, 0, 1, 1, ck::Sequence&lt;1, 32, 1, 8&gt;, ck::Sequence&lt;4&gt;, (ck::BlockGemmPipelineScheduler)0, (ck::BlockGemmPipelineVersion)0, ck::f8_fnuz_t, ck::f8_fnuz_t, ck::f8_fnuz_t, ck::f8_fnuz_t&gt;::Argument)</t>
  </si>
  <si>
    <t>void rocprim::ROCPRIM_400200_NS::detail::trampoline_kernel&lt;rocprim::ROCPRIM_400200_NS::detail::wrapped_merge_sort_block_merge_config&lt;rocprim::ROCPRIM_400200_NS::default_config, float, at::cuda::cub::detail::OpaqueType&lt;8&gt; &gt;, (rocprim::ROCPRIM_400200_NS::detail::target_arch)942, rocprim::ROCPRIM_400200_NS::detail::merge_sort_block_merge_impl&lt;rocprim::ROCPRIM_400200_NS::default_config, float*, at::cuda::cub::detail::OpaqueType&lt;8&gt;*, unsigned int, rocprim::ROCPRIM_400200_NS::detail::radix_merge_compare&lt;false, false, float, rocprim::ROCPRIM_400200_NS::identity_decomposer&gt; &gt;(float*, at::cuda::cub::detail::OpaqueType&lt;8&gt;*, unsigned int, unsigned int, rocprim::ROCPRIM_400200_NS::detail::radix_merge_compare&lt;false, false, float, rocprim::ROCPRIM_400200_NS::identity_decomposer&gt;, ihipStream_t*, bool, std::iterator_traits&lt;float*&gt;::value_type*, std::iterator_traits&lt;at::cuda::cub::detail::OpaqueType&lt;8&gt;*&gt;::value_type*, unsigned int*, rocprim::ROCPRIM_400200_NS::detail::vsmem_t)::{lambda(auto:1, auto:2, auto:3, auto:4)#1}::operator()&lt;float*, float*, at::cuda::cub::detail::OpaqueType&lt;8&gt;*, at::cuda::cub::detail::OpaqueType&lt;8&gt;*&gt;(float*, float*, at::cuda::cub::detail::OpaqueType&lt;8&gt;*, at::cuda::cub::detail::OpaqueType&lt;8&gt;*) const::{lambda(auto:1)#1}, rocprim::ROCPRIM_400200_NS::detail::merge_mergepath_partition_config_selector&gt;(rocprim::ROCPRIM_400200_NS::detail::merge_sort_block_merge_impl&lt;rocprim::ROCPRIM_400200_NS::default_config, float*, at::cuda::cub::detail::OpaqueType&lt;8&gt;*, unsigned int, rocprim::ROCPRIM_400200_NS::detail::radix_merge_compare&lt;false, false, float, rocprim::ROCPRIM_400200_NS::identity_decomposer&gt; &gt;(float*, at::cuda::cub::detail::OpaqueType&lt;8&gt;*, unsigned int, unsigned int, rocprim::ROCPRIM_400200_NS::detail::radix_merge_compare&lt;false, false, float, rocprim::ROCPRIM_400200_NS::identity_decomposer&gt;, ihipStream_t*, bool, std::iterator_traits&lt;float*&gt;::value_type*, std::iterator_traits&lt;at::cuda::cub::detail::OpaqueType&lt;8&gt;*&gt;::value_type*, unsigned int*, rocprim::ROCPRIM_400200_NS::detail::vsmem_t)::{lambda(auto:1, auto:2, auto:3, auto:4)#1}::operator()&lt;float*, float*, at::cuda::cub::detail::OpaqueType&lt;8&gt;*, at::cuda::cub::detail::OpaqueType&lt;8&gt;*&gt;(float*, float*, at::cuda::cub::detail::OpaqueType&lt;8&gt;*, at::cuda::cub::detail::OpaqueType&lt;8&gt;*) const::{lambda(auto:1)#1})</t>
  </si>
  <si>
    <t>void rocprim::ROCPRIM_400200_NS::detail::trampoline_kernel&lt;rocprim::ROCPRIM_400200_NS::detail::wrapped_merge_sort_block_merge_config&lt;rocprim::ROCPRIM_400200_NS::default_config, long, rocprim::ROCPRIM_400200_NS::empty_type&gt;, (rocprim::ROCPRIM_400200_NS::detail::target_arch)942, rocprim::ROCPRIM_400200_NS::detail::merge_sort_block_merge_impl&lt;rocprim::ROCPRIM_400200_NS::default_config, long*, rocprim::ROCPRIM_400200_NS::empty_type*, unsigned int, rocprim::ROCPRIM_400200_NS::detail::radix_merge_compare&lt;false, true, long, rocprim::ROCPRIM_400200_NS::identity_decomposer&gt; &gt;(long*, rocprim::ROCPRIM_400200_NS::empty_type*, unsigned int, unsigned int, rocprim::ROCPRIM_400200_NS::detail::radix_merge_compare&lt;false, true, long, rocprim::ROCPRIM_400200_NS::identity_decomposer&gt;, ihipStream_t*, bool, std::iterator_traits&lt;long*&gt;::value_type*, std::iterator_traits&lt;rocprim::ROCPRIM_400200_NS::empty_type*&gt;::value_type*, unsigned int*, rocprim::ROCPRIM_400200_NS::detail::vsmem_t)::{lambda(auto:1, auto:2, auto:3, auto:4)#1}::operator()&lt;long*, long*, rocprim::ROCPRIM_400200_NS::empty_type*, rocprim::ROCPRIM_400200_NS::empty_type*&gt;(long*, long*, rocprim::ROCPRIM_400200_NS::empty_type*, rocprim::ROCPRIM_400200_NS::empty_type*) const::{lambda(auto:1)#2}, rocprim::ROCPRIM_400200_NS::detail::merge_mergepath_config_selector&gt;(rocprim::ROCPRIM_400200_NS::detail::merge_sort_block_merge_impl&lt;rocprim::ROCPRIM_400200_NS::default_config, long*, rocprim::ROCPRIM_400200_NS::empty_type*, unsigned int, rocprim::ROCPRIM_400200_NS::detail::radix_merge_compare&lt;false, true, long, rocprim::ROCPRIM_400200_NS::identity_decomposer&gt; &gt;(long*, rocprim::ROCPRIM_400200_NS::empty_type*, unsigned int, unsigned int, rocprim::ROCPRIM_400200_NS::detail::radix_merge_compare&lt;false, true, long, rocprim::ROCPRIM_400200_NS::identity_decomposer&gt;, ihipStream_t*, bool, std::iterator_traits&lt;long*&gt;::value_type*, std::iterator_traits&lt;rocprim::ROCPRIM_400200_NS::empty_type*&gt;::value_type*, unsigned int*, rocprim::ROCPRIM_400200_NS::detail::vsmem_t)::{lambda(auto:1, auto:2, auto:3, auto:4)#1}::operator()&lt;long*, long*, rocprim::ROCPRIM_400200_NS::empty_type*, rocprim::ROCPRIM_400200_NS::empty_type*&gt;(long*, long*, rocprim::ROCPRIM_400200_NS::empty_type*, rocprim::ROCPRIM_400200_NS::empty_type*) const::{lambda(auto:1)#2})</t>
  </si>
  <si>
    <t>void at::native::reduce_kernel&lt;512, 1, at::native::ReduceOp&lt;int, at::native::func_wrapper_t&lt;int, at::native::sum_functor&lt;int, int, int&gt;::operator()(at::TensorIterator&amp;)::{lambda(int, int)#1}&gt;, unsigned int, int, 4, 4&gt; &gt;(at::native::ReduceOp&lt;int, at::native::func_wrapper_t&lt;int, at::native::sum_functor&lt;int, int, int&gt;::operator()(at::TensorIterator&amp;)::{lambda(int, int)#1}&gt;, unsigned int, int, 4, 4&gt;)</t>
  </si>
  <si>
    <t>void kn_get_mla_metadata_v1_2&lt;MlaMetadataV12Traits&lt;128, false, 1, false, false&gt; &gt;(MlaMetadataV1KernelParameter)</t>
  </si>
  <si>
    <t>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</t>
  </si>
  <si>
    <t>void FP8MQALogits&lt;1024, 32, 128, 256&gt;(unsigned char const*, unsigned char const*, float const*, float const*, int const*, int const*, float*, int, int, int, int, int, int, int, int, int, int, int)</t>
  </si>
  <si>
    <t>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</t>
  </si>
  <si>
    <t>_gumbel_sample_kernel</t>
  </si>
  <si>
    <t>triton_poi_fused__to_copy_embedding_0</t>
  </si>
  <si>
    <t>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</t>
  </si>
  <si>
    <t>void rocprim::ROCPRIM_400200_NS::detail::trampoline_kernel&lt;rocprim::ROCPRIM_400200_NS::detail::wrapped_radix_sort_block_sort_config&lt;rocprim::ROCPRIM_400200_NS::kernel_config&lt;256u, 4u, 4294967295u&gt;, float, at::cuda::cub::detail::OpaqueType&lt;8&gt; &gt;, (rocprim::ROCPRIM_400200_NS::detail::target_arch)942, rocprim::ROCPRIM_400200_NS::detail::radix_sort_block_sort&lt;rocprim::ROCPRIM_400200_NS::kernel_config&lt;256u, 4u, 4294967295u&gt;, false, float const*, float*, at::cuda::cub::detail::OpaqueType&lt;8&gt; const*, at::cuda::cub::detail::OpaqueType&lt;8&gt;*, rocprim::ROCPRIM_400200_NS::identity_decomposer&gt;(float const*, float*, at::cuda::cub::detail::OpaqueType&lt;8&gt; const*, at::cuda::cub::detail::OpaqueType&lt;8&gt;*, unsigned int, unsigned int&amp;, rocprim::ROCPRIM_400200_NS::identity_decomposer, unsigned int, unsigned int, ihipStream_t*, bool)::{lambda(auto:1)#1}, rocprim::ROCPRIM_400200_NS::detail::radix_sort_config_selector&gt;(rocprim::ROCPRIM_400200_NS::detail::radix_sort_block_sort&lt;rocprim::ROCPRIM_400200_NS::kernel_config&lt;256u, 4u, 4294967295u&gt;, false, float const*, float*, at::cuda::cub::detail::OpaqueType&lt;8&gt; const*, at::cuda::cub::detail::OpaqueType&lt;8&gt;*, rocprim::ROCPRIM_400200_NS::identity_decomposer&gt;(float const*, float*, at::cuda::cub::detail::OpaqueType&lt;8&gt; const*, at::cuda::cub::detail::OpaqueType&lt;8&gt;*, unsigned int, unsigned int&amp;, rocprim::ROCPRIM_400200_NS::identity_decomposer, unsigned int, unsigned int, ihipStream_t*, bool)::{lambda(auto:1)#1})</t>
  </si>
  <si>
    <t>void ck::kernel_gemm_xdl_cshuffle_v3_multi_d_blockscale_b_preshuffle&lt;ck::GridwiseGemmMultiD_blockscale_xdl_cshuffle_v3_b_preshuffle&lt;ck::tensor_layout::gemm::RowMajor, ck::tensor_layout::gemm::ColumnMajor, ck::Tuple&lt;&gt;, ck::tensor_layout::gemm::RowMajor, ck::f8_fnuz_t, ck::f8_fnuz_t, float, float, ck::Tuple&lt;&gt;, unsigned short, ck::tensor_operation::element_wise::PassThrough, ck::tensor_operation::element_wise::PassThrough, ck::tensor_operation::element_wise::PassThrough, (ck::tensor_operation::device::GemmSpecialization)7, 256, 1, 128, 128, 32, 32, 1024, 16, 16, 16, 16, 1, 1, ck::Sequence&lt;32, 8, 1&gt;, ck::Sequence&lt;1, 0, 2&gt;, ck::Sequence&lt;1, 0, 2&gt;, 2, 16, 16, false, 0, ck::Sequence&lt;8, 32, 1&gt;, ck::Sequence&lt;1, 0, 2&gt;, ck::Sequence&lt;1, 0, 2&gt;, 2, 16, 16, false, 0, 1, 1, ck::Sequence&lt;1, 32, 1, 8&gt;, ck::Sequence&lt;4&gt;, (ck::BlockGemmPipelineScheduler)0, (ck::BlockGemmPipelineVersion)0, ck::f8_fnuz_t, ck::f8_fnuz_t, ck::f8_fnuz_t, ck::f8_fnuz_t&gt;, false, (ck::InMemoryDataOperationEnum)0, 2, (ck::TailNumber)1&gt;(ck::GridwiseGemmMultiD_blockscale_xdl_cshuffle_v3_b_preshuffle&lt;ck::tensor_layout::gemm::RowMajor, ck::tensor_layout::gemm::ColumnMajor, ck::Tuple&lt;&gt;, ck::tensor_layout::gemm::RowMajor, ck::f8_fnuz_t, ck::f8_fnuz_t, float, float, ck::Tuple&lt;&gt;, unsigned short, ck::tensor_operation::element_wise::PassThrough, ck::tensor_operation::element_wise::PassThrough, ck::tensor_operation::element_wise::PassThrough, (ck::tensor_operation::device::GemmSpecialization)7, 256, 1, 128, 128, 32, 32, 1024, 16, 16, 16, 16, 1, 1, ck::Sequence&lt;32, 8, 1&gt;, ck::Sequence&lt;1, 0, 2&gt;, ck::Sequence&lt;1, 0, 2&gt;, 2, 16, 16, false, 0, ck::Sequence&lt;8, 32, 1&gt;, ck::Sequence&lt;1, 0, 2&gt;, ck::Sequence&lt;1, 0, 2&gt;, 2, 16, 16, false, 0, 1, 1, ck::Sequence&lt;1, 32, 1, 8&gt;, ck::Sequence&lt;4&gt;, (ck::BlockGemmPipelineScheduler)0, (ck::BlockGemmPipelineVersion)0, ck::f8_fnuz_t, ck::f8_fnuz_t, ck::f8_fnuz_t, ck::f8_fnuz_t&gt;::Argument)</t>
  </si>
  <si>
    <t>void at::native::vectorized_elementwise_kernel&lt;4, at::native::AUnaryFunctor&lt;int, int, bool, at::native::(anonymous namespace)::CompareEqFunctor&lt;int&gt; &gt;, std::array&lt;char*, 2ul&gt; &gt;(int, at::native::AUnaryFunctor&lt;int, int, bool, at::native::(anonymous namespace)::CompareEqFunctor&lt;int&gt; &gt;, std::array&lt;char*, 2ul&gt;)</t>
  </si>
  <si>
    <t>void at::native::vectorized_gather_kernel&lt;16, long&gt;(char*, char*, long*, int, long, long, long, long, bool)</t>
  </si>
  <si>
    <t>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</t>
  </si>
  <si>
    <t>void at::native::_scatter_gather_elementwise_kernel&lt;256, 4, at::native::_cuda_scatter_gather_internal_kernel&lt;true, at::native::OpaqueType&lt;4&gt;, long&gt;::operator()&lt;at::native::TensorAssign&gt;(at::TensorIterator&amp;, long, long, long, at::native::TensorAssign const&amp;)::{lambda(int)#1}&gt;(int, at::native::_cuda_scatter_gather_internal_kernel&lt;true, at::native::OpaqueType&lt;4&gt;, long&gt;::operator()&lt;at::native::TensorAssign&gt;(at::TensorIterator&amp;, long, long, long, at::native::TensorAssign const&amp;)::{lambda(int)#1})</t>
  </si>
  <si>
    <t>void at::native::unrolled_elementwise_kernel&lt;at::native::FillFunctor&lt;int&gt;, std::array&lt;char*, 1ul&gt;, 4, TrivialOffsetCalculator&lt;0, unsigned int&gt;, TrivialOffsetCalculator&lt;1, unsigned int&gt;, at::native::memory::LoadWithoutCast, at::native::memory::StoreWithoutCast&gt;(int, at::native::FillFunctor&lt;int&gt;, std::array&lt;char*, 1ul&gt;, TrivialOffsetCalculator&lt;0, unsigned int&gt;, TrivialOffsetCalculator&lt;1, unsigned int&gt;, at::native::memory::LoadWithoutCast, at::native::memory::StoreWithoutCast)</t>
  </si>
  <si>
    <t>generate_sparse_seqlen_kernel</t>
  </si>
  <si>
    <t>Cijk_Alik_Bljk_BBS_BH_Bias_HA_S_SAV_UserArgs_MT64x128x128_MI16x16x1_SN_LDSB1_AFC1_AFEM1_AFEM1_ASEM1_CLR1_CADS0_DTLA0_DTLB0_DTVA0_DTVB0_EPS0_FDSI0_GRPM1_GRVWA8_GRVWB8_GSUAMBSK_GLS0_ISA942_IU1_K1_LDSTI0_LBSPPA1024_LBSPPB1024_LBSPPM0_LPA16_LPB16_LPM0_LRVW8_LWPMn1_MIAV0_MIWT4_4_MO40_NTn1_NTA0_NTB0_NTC0_NTD4_NTM0_NEPBS16_NLCA1_NLCB1_ONLL1_PGR2_PLR1_PKA1_SIA3_SS1_SPO0_SRVW0_SSO0_SVW4_SK0_SKFTR0_SKXCCM0_TLDS1_ULSGRO1_USL1_UIOFGRO0_USFGROn1_VSn1_VWA4_VWB4_WSGRA0_WSGRB0_WS64_WG16_8_2</t>
  </si>
  <si>
    <t>void at::native::vectorized_elementwise_kernel&lt;2, at::native::FillFunctor&lt;int&gt;, std::array&lt;char*, 1ul&gt; &gt;(int, at::native::FillFunctor&lt;int&gt;, std::array&lt;char*, 1ul&gt;)</t>
  </si>
  <si>
    <t>void at::native::elementwise_kernel_manual_unroll&lt;128, 8, at::native::gpu_kernel_impl_nocast&lt;at::native::(anonymous namespace)::CompareFunctor&lt;float&gt; &gt;(at::TensorIteratorBase&amp;, at::native::(anonymous namespace)::CompareFunctor&lt;float&gt; const&amp;)::{lambda(int, bool)#1}&gt;(int, at::native::gpu_kernel_impl_nocast&lt;at::native::(anonymous namespace)::CompareFunctor&lt;float&gt; &gt;(at::TensorIteratorBase&amp;, at::native::(anonymous namespace)::CompareFunctor&lt;float&gt; const&amp;)::{lambda(int, bool)#1})</t>
  </si>
  <si>
    <t>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</t>
  </si>
  <si>
    <t>void rocprim::ROCPRIM_400200_NS::detail::trampoline_kernel&lt;rocprim::ROCPRIM_400200_NS::detail::wrapped_scan_config&lt;rocprim::ROCPRIM_400200_NS::default_config, float&gt;, (rocprim::ROCPRIM_400200_NS::detail::target_arch)942, rocprim::ROCPRIM_400200_NS::detail::scan_impl&lt;(rocprim::ROCPRIM_400200_NS::detail::lookback_scan_determinism)0, false, false, rocprim::ROCPRIM_400200_NS::default_config, float const*, float*, float, std::plus&lt;float&gt;, float&gt;(void*, unsigned long&amp;, float const*, float*, float, unsigned long, std::plus&lt;float&gt;, ihipStream_t*, bool)::{lambda(auto:1, auto:2)#1}::operator()&lt;std::integral_constant&lt;bool, false&gt;, std::integral_constant&lt;bool, true&gt; &gt;(std::integral_constant&lt;bool, false&gt;, std::integral_constant&lt;bool, true&gt;) const::{lambda(auto:1)#1}, rocprim::ROCPRIM_400200_NS::detail::default_config_selector&gt;(rocprim::ROCPRIM_400200_NS::detail::scan_impl&lt;(rocprim::ROCPRIM_400200_NS::detail::lookback_scan_determinism)0, false, false, rocprim::ROCPRIM_400200_NS::default_config, float const*, float*, float, std::plus&lt;float&gt;, float&gt;(void*, unsigned long&amp;, float const*, float*, float, unsigned long, std::plus&lt;float&gt;, ihipStream_t*, bool)::{lambda(auto:1, auto:2)#1}::operator()&lt;std::integral_constant&lt;bool, false&gt;, std::integral_constant&lt;bool, true&gt; &gt;(std::integral_constant&lt;bool, false&gt;, std::integral_constant&lt;bool, true&gt;) const::{lambda(auto:1)#1})</t>
  </si>
  <si>
    <t>void wvSplitK_hf_sml_&lt;__hip_bfloat16, 64, 1, 16, 8, 4, 1&gt;(int, int, int, int, int, int, __hip_bfloat16 const*, __hip_bfloat16 const*, __hip_bfloat16 const*, __hip_bfloat16*, int, int)</t>
  </si>
  <si>
    <t>void ck_tile::kentry&lt;2, ck_tile::MoeSortingKernel&lt;ck_tile::MoeSortingProblemEx&lt;int, float, 1, true, true, false, true, 0&gt; &gt;, ck_tile::MoeSortingKernel&lt;ck_tile::MoeSortingProblemEx&lt;int, float, 1, true, true, false, true, 0&gt; &gt;::Kargs&gt;(ck_tile::MoeSortingKernel&lt;ck_tile::MoeSortingProblemEx&lt;int, float, 1, true, true, false, true, 0&gt; &gt;::Kargs)</t>
  </si>
  <si>
    <t>void ck_tile::kentry&lt;2, ck_tile::MoeSortingMultiPhaseKernel_P1&lt;ck_tile::MoeSortingProblemMp&lt;int, float, unsigned char, 16, true, false, true&gt; &gt;, ck_tile::MoeSortingMultiPhaseKernel_P1&lt;ck_tile::MoeSortingProblemMp&lt;int, float, unsigned char, 16, true, false, true&gt; &gt;::Kargs&gt;(ck_tile::MoeSortingMultiPhaseKernel_P1&lt;ck_tile::MoeSortingProblemMp&lt;int, float, unsigned char, 16, true, false, true&gt; &gt;::Kargs)</t>
  </si>
  <si>
    <t>void ck_tile::kentry&lt;256, ck_tile::MoeSortingMultiPhaseKernel_P0_v1&lt;ck_tile::MoeSortingProblemMp&lt;int, float, unsigned char, 4, true, false, true&gt; &gt;, ck_tile::MoeSortingMultiPhaseKernel_P0_v1&lt;ck_tile::MoeSortingProblemMp&lt;int, float, unsigned char, 4, true, false, true&gt; &gt;::Kargs&gt;(ck_tile::MoeSortingMultiPhaseKernel_P0_v1&lt;ck_tile::MoeSortingProblemMp&lt;int, float, unsigned char, 4, true, false, true&gt; &gt;::Kargs)</t>
  </si>
  <si>
    <t>void aiter::PrefillTopK::topKPerRow&lt;1024, 2048, 2048, 512&gt;(void*, float const*, int const*, int const*, int*, float*, int, int)</t>
  </si>
  <si>
    <t>void at::native::reduce_kernel&lt;512, 1, at::native::ReduceOp&lt;float, at::native::ArgMaxOps&lt;float&gt;, unsigned int, long, 4, 4&gt; &gt;(at::native::ReduceOp&lt;float, at::native::ArgMaxOps&lt;float&gt;, unsigned int, long, 4, 4&gt;)</t>
  </si>
  <si>
    <t>void ck_tile::kentry&lt;2, ck_tile::MoeSortingClearWorkspaceKernel&lt;ck_tile::MoeSortingClearWorkspaceProblem&lt;false, 1024, 1&gt; &gt;, ck_tile::MoeSortingClearWorkspaceKernel&lt;ck_tile::MoeSortingClearWorkspaceProblem&lt;false, 1024, 1&gt; &gt;::Kargs&gt;(ck_tile::MoeSortingClearWorkspaceKernel&lt;ck_tile::MoeSortingClearWorkspaceProblem&lt;false, 1024, 1&gt; &gt;::Kargs)</t>
  </si>
  <si>
    <t>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</t>
  </si>
  <si>
    <t>void kn_get_mla_metadata_v1_2&lt;MlaMetadataV12Traits&lt;128, false, 1, true, false&gt; &gt;(MlaMetadataV1KernelParameter)</t>
  </si>
  <si>
    <t>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</t>
  </si>
  <si>
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128, 128, 128, 16, 16, 16, 16, 8, 2, ck::Sequence&lt;8, 32, 1&gt;, ck::Sequence&lt;1, 0, 2&gt;, ck::Sequence&lt;1, 0, 2&gt;, 2, 16, 16, false, 0, ck::Sequence&lt;8, 32, 1&gt;, ck::Sequence&lt;1, 0, 2&gt;, ck::Sequence&lt;1, 0, 2&gt;, 2, 16, 16, false, 0, 1, 2, ck::Sequence&lt;1, 16, 1, 16&gt;,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128, 128, 128, 16, 16, 16, 16, 8, 2, ck::Sequence&lt;8, 32, 1&gt;, ck::Sequence&lt;1, 0, 2&gt;, ck::Sequence&lt;1, 0, 2&gt;, 2, 16, 16, false, 0, ck::Sequence&lt;8, 32, 1&gt;, ck::Sequence&lt;1, 0, 2&gt;, ck::Sequence&lt;1, 0, 2&gt;, 2, 16, 16, false, 0, 1, 2, ck::Sequence&lt;1, 16, 1, 16&gt;, ck::Sequence&lt;8, 8, 1&gt;, (ck::BlockGemmPipelineScheduler)0, (ck::BlockGemmPipelineVersion)2, ck::f8_fnuz_t, ck::f8_fnuz_t, ck::f8_fnuz_t, ck::f8_fnuz_t&gt;::Argument)</t>
  </si>
  <si>
    <t>void at::native::vectorized_elementwise_kernel&lt;4, at::native::CUDAFunctorOnSelf_add&lt;int&gt;, std::array&lt;char*, 2ul&gt; &gt;(int, at::native::CUDAFunctorOnSelf_add&lt;int&gt;, std::array&lt;char*, 2ul&gt;)</t>
  </si>
  <si>
    <t>_prepare_pos_seq_lens_kernel</t>
  </si>
  <si>
    <t>_combine_sampled_and_draft_tokens_kernel</t>
  </si>
  <si>
    <t>void rocprim::ROCPRIM_400200_NS::detail::trampoline_kernel&lt;rocprim::ROCPRIM_400200_NS::detail::wrapped_radix_sort_block_sort_config&lt;rocprim::ROCPRIM_400200_NS::kernel_config&lt;256u, 4u, 4294967295u&gt;, long, rocprim::ROCPRIM_400200_NS::empty_type&gt;, (rocprim::ROCPRIM_400200_NS::detail::target_arch)942, rocprim::ROCPRIM_400200_NS::detail::radix_sort_block_sort&lt;rocprim::ROCPRIM_400200_NS::kernel_config&lt;256u, 4u, 4294967295u&gt;, false, long const*, long*, rocprim::ROCPRIM_400200_NS::empty_type*, rocprim::ROCPRIM_400200_NS::empty_type*, rocprim::ROCPRIM_400200_NS::identity_decomposer&gt;(long const*, long*, rocprim::ROCPRIM_400200_NS::empty_type*, rocprim::ROCPRIM_400200_NS::empty_type*, unsigned int, unsigned int&amp;, rocprim::ROCPRIM_400200_NS::identity_decomposer, unsigned int, unsigned int, ihipStream_t*, bool)::{lambda(auto:1)#1}, rocprim::ROCPRIM_400200_NS::detail::radix_sort_config_selector&gt;(rocprim::ROCPRIM_400200_NS::detail::radix_sort_block_sort&lt;rocprim::ROCPRIM_400200_NS::kernel_config&lt;256u, 4u, 4294967295u&gt;, false, long const*, long*, rocprim::ROCPRIM_400200_NS::empty_type*, rocprim::ROCPRIM_400200_NS::empty_type*, rocprim::ROCPRIM_400200_NS::identity_decomposer&gt;(long const*, long*, rocprim::ROCPRIM_400200_NS::empty_type*, rocprim::ROCPRIM_400200_NS::empty_type*, unsigned int, unsigned int&amp;, rocprim::ROCPRIM_400200_NS::identity_decomposer, unsigned int, unsigned int, ihipStream_t*, bool)::{lambda(auto:1)#1})</t>
  </si>
  <si>
    <t>_gather_block_tables_kernel</t>
  </si>
  <si>
    <t>_post_update_kernel</t>
  </si>
  <si>
    <t>void at::native::(anonymous namespace)::sort_postprocess_kernel&lt;float&gt;(float const*, float*, long*, HIP_vector_type&lt;int, 2u&gt; const*, int, int)</t>
  </si>
  <si>
    <t>void at::native::vectorized_elementwise_kernel&lt;4, at::native::CUDAFunctorOnOther_add&lt;float&gt;, std::array&lt;char*, 2ul&gt; &gt;(int, at::native::CUDAFunctorOnOther_add&lt;float&gt;, std::array&lt;char*, 2ul&gt;)</t>
  </si>
  <si>
    <t>void rocprim::ROCPRIM_400200_NS::detail::trampoline_kernel&lt;rocprim::ROCPRIM_400200_NS::detail::wrapped_transform_config&lt;rocprim::ROCPRIM_400200_NS::default_config, long, true&gt;, (rocprim::ROCPRIM_400200_NS::detail::target_arch)942, rocprim::ROCPRIM_400200_NS::detail::transform_impl&lt;true, rocprim::ROCPRIM_400200_NS::default_config, long*, long*, rocprim::ROCPRIM_400200_NS::identity&lt;long&gt; &gt;(long*, long*, unsigned long, rocprim::ROCPRIM_400200_NS::identity&lt;long&gt;, ihipStream_t*, bool)::{lambda(auto:1)#1}, rocprim::ROCPRIM_400200_NS::detail::default_config_selector&gt;(rocprim::ROCPRIM_400200_NS::detail::transform_impl&lt;true, rocprim::ROCPRIM_400200_NS::default_config, long*, long*, rocprim::ROCPRIM_400200_NS::identity&lt;long&gt; &gt;(long*, long*, unsigned long, rocprim::ROCPRIM_400200_NS::identity&lt;long&gt;, ihipStream_t*, bool)::{lambda(auto:1)#1})</t>
  </si>
  <si>
    <t>at::native::(anonymous namespace)::fill_reverse_indices_kernel(long*, int, at::cuda::detail::IntDivider&lt;unsigned int&gt;)</t>
  </si>
  <si>
    <t>void at::native::unrolled_elementwise_kernel&lt;at::native::FillFunctor&lt;bool&gt;, std::array&lt;char*, 1ul&gt;, 4, TrivialOffsetCalculator&lt;0, unsigned int&gt;, TrivialOffsetCalculator&lt;1, unsigned int&gt;, at::native::memory::LoadWithoutCast, at::native::memory::StoreWithoutCast&gt;(int, at::native::FillFunctor&lt;bool&gt;, std::array&lt;char*, 1ul&gt;, TrivialOffsetCalculator&lt;0, unsigned int&gt;, TrivialOffsetCalculator&lt;1, unsigned int&gt;, at::native::memory::LoadWithoutCast, at::native::memory::StoreWithoutCast)</t>
  </si>
  <si>
    <t>_compute_slot_mappings_kernel</t>
  </si>
  <si>
    <t>void rocprim::ROCPRIM_400200_NS::detail::trampoline_kernel&lt;rocprim::ROCPRIM_400200_NS::detail::wrapped_transform_config&lt;rocprim::ROCPRIM_400200_NS::default_config, at::cuda::cub::detail::OpaqueType&lt;8&gt;, true&gt;, (rocprim::ROCPRIM_400200_NS::detail::target_arch)942, rocprim::ROCPRIM_400200_NS::detail::transform_impl&lt;true, rocprim::ROCPRIM_400200_NS::default_config, at::cuda::cub::detail::OpaqueType&lt;8&gt;*, at::cuda::cub::detail::OpaqueType&lt;8&gt;*, rocprim::ROCPRIM_400200_NS::identity&lt;at::cuda::cub::detail::OpaqueType&lt;8&gt; &gt; &gt;(at::cuda::cub::detail::OpaqueType&lt;8&gt;*, at::cuda::cub::detail::OpaqueType&lt;8&gt;*, unsigned long, rocprim::ROCPRIM_400200_NS::identity&lt;at::cuda::cub::detail::OpaqueType&lt;8&gt; &gt;, ihipStream_t*, bool)::{lambda(auto:1)#1}, rocprim::ROCPRIM_400200_NS::detail::default_config_selector&gt;(rocprim::ROCPRIM_400200_NS::detail::transform_impl&lt;true, rocprim::ROCPRIM_400200_NS::default_config, at::cuda::cub::detail::OpaqueType&lt;8&gt;*, at::cuda::cub::detail::OpaqueType&lt;8&gt;*, rocprim::ROCPRIM_400200_NS::identity&lt;at::cuda::cub::detail::OpaqueType&lt;8&gt; &gt; &gt;(at::cuda::cub::detail::OpaqueType&lt;8&gt;*, at::cuda::cub::detail::OpaqueType&lt;8&gt;*, unsigned long, rocprim::ROCPRIM_400200_NS::identity&lt;at::cuda::cub::detail::OpaqueType&lt;8&gt; &gt;, ihipStream_t*, bool)::{lambda(auto:1)#1})</t>
  </si>
  <si>
    <t>at::native::(anonymous namespace)::fill_index_and_segment_kernel(HIP_vector_type&lt;int, 2u&gt;*, int, at::cuda::detail::IntDivider&lt;unsigned int&gt;)</t>
  </si>
  <si>
    <t>void rocprim::ROCPRIM_400200_NS::detail::init_lookback_scan_state_kernel&lt;rocprim::ROCPRIM_400200_NS::detail::lookback_scan_state&lt;float, false, true&gt;, rocprim::ROCPRIM_400200_NS::detail::block_id_wrapper&lt;unsigned int, true&gt; &gt;(rocprim::ROCPRIM_400200_NS::detail::lookback_scan_state&lt;float, false, true&gt;, unsigned int, rocprim::ROCPRIM_400200_NS::detail::block_id_wrapper&lt;unsigned int, true&gt;, unsigned int, rocprim::ROCPRIM_400200_NS::detail::lookback_scan_state&lt;float, false, true&gt;::value_type*)</t>
  </si>
  <si>
    <t>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</t>
  </si>
  <si>
    <t>void at::native::_scatter_gather_elementwise_kernel&lt;256, 4, at::native::_cuda_scatter_gather_internal_kernel&lt;false, at::native::OpaqueType&lt;8&gt;, long&gt;::operator()&lt;at::native::TensorAssign&gt;(at::TensorIterator&amp;, long, long, long, at::native::TensorAssign const&amp;)::{lambda(int)#1}&gt;(int, at::native::_cuda_scatter_gather_internal_kernel&lt;false, at::native::OpaqueType&lt;8&gt;, long&gt;::operator()&lt;at::native::TensorAssign&gt;(at::TensorIterator&amp;, long, long, long, at::native::TensorAssign const&amp;)::{lambda(int)#1})</t>
  </si>
  <si>
    <t>void rocprim::ROCPRIM_400200_NS::detail::trampoline_kernel&lt;rocprim::ROCPRIM_400200_NS::detail::wrapped_transform_config&lt;rocprim::ROCPRIM_400200_NS::default_config, float, true&gt;, (rocprim::ROCPRIM_400200_NS::detail::target_arch)942, rocprim::ROCPRIM_400200_NS::detail::transform_impl&lt;true, rocprim::ROCPRIM_400200_NS::default_config, float*, float*, rocprim::ROCPRIM_400200_NS::identity&lt;float&gt; &gt;(float*, float*, unsigned long, rocprim::ROCPRIM_400200_NS::identity&lt;float&gt;, ihipStream_t*, bool)::{lambda(auto:1)#1}, rocprim::ROCPRIM_400200_NS::detail::default_config_selector&gt;(rocprim::ROCPRIM_400200_NS::detail::transform_impl&lt;true, rocprim::ROCPRIM_400200_NS::default_config, float*, float*, rocprim::ROCPRIM_400200_NS::identity&lt;float&gt; &gt;(float*, float*, unsigned long, rocprim::ROCPRIM_400200_NS::identity&lt;float&gt;, ihipStream_t*, bool)::{lambda(auto:1)#1})</t>
  </si>
  <si>
    <t>_ZN5aiter23fused_qk_rmsnorm_kernelIDF16bLi256ELi8ELb1ELi4EEEvPT_S2_PKS1_S4_S4_S4_ffiiiiiii</t>
  </si>
  <si>
    <t>_get_num_sampled_and_rejected_kernel</t>
  </si>
  <si>
    <t>void at::native::elementwise_kernel_manual_unroll&lt;128, 8, at::native::gpu_kernel_impl_nocast&lt;at::native::FillFunctor&lt;bool&gt; &gt;(at::TensorIteratorBase&amp;, at::native::FillFunctor&lt;bool&gt; const&amp;)::{lambda(int, bool)#1}&gt;(int, at::native::gpu_kernel_impl_nocast&lt;at::native::FillFunctor&lt;bool&gt; &gt;(at::TensorIteratorBase&amp;, at::native::FillFunctor&lt;bool&gt; const&amp;)::{lambda(int, bool)#1})</t>
  </si>
  <si>
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1, 2, ck::Sequence&lt;1, 16, 1, 16&gt;,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1, 2, ck::Sequence&lt;1, 16, 1, 16&gt;, ck::Sequence&lt;8, 8, 1&gt;, (ck::BlockGemmPipelineScheduler)0, (ck::BlockGemmPipelineVersion)2, ck::f8_fnuz_t, ck::f8_fnuz_t, ck::f8_fnuz_t, ck::f8_fnuz_t&gt;::Argument)</t>
  </si>
  <si>
    <t>Cijk_Alik_Bljk_BBS_BH_Bias_HA_S_SAV_UserArgs_MT64x96x128_MI16x16x1_SN_LDSB1_AFC1_AFEM1_AFEM1_ASEM1_CLR1_CADS0_DTLA0_DTLB0_DTVA0_DTVB0_EPS0_FDSI0_GRPM1_GRVWA8_GRVWB8_GSUAMBSK_GLS0_ISA942_IU1_K1_LDSTI0_LBSPPA1024_LBSPPB256_LBSPPM0_LPA16_LPB16_LPM0_LRVW8_LWPMn1_MIAV0_MIWT4_3_MO40_NTn1_NTA0_NTB0_NTC0_NTD4_NTM0_NEPBS16_NLCA1_NLCB1_ONLL1_PGR2_PLR1_PKA1_SIA3_SS1_SPO0_SRVW0_SSO0_SVW4_SK0_SKFTR0_SKXCCM0_TLDS1_ULSGRO0_USL1_UIOFGRO0_USFGROn1_VSn1_VWA4_VWB1_WSGRA0_WSGRB0_WS64_WG16_8_2</t>
  </si>
  <si>
    <t>_cp_gather_indexer_quant_cache_kernel</t>
  </si>
  <si>
    <t>_apply_write_kernel</t>
  </si>
  <si>
    <t>void rocprim::ROCPRIM_400200_NS::detail::trampoline_kernel&lt;rocprim::ROCPRIM_400200_NS::detail::wrapped_scan_config&lt;rocprim::ROCPRIM_400200_NS::default_config, int&gt;, (rocprim::ROCPRIM_400200_NS::detail::target_arch)942, rocprim::ROCPRIM_400200_NS::detail::scan_impl&lt;(rocprim::ROCPRIM_400200_NS::detail::lookback_scan_determinism)0, false, false, rocprim::ROCPRIM_400200_NS::default_config, int const*, int*, int, std::plus&lt;int&gt;, int&gt;(void*, unsigned long&amp;, int const*, int*, int, unsigned long, std::plus&lt;int&gt;, ihipStream_t*, bool)::{lambda(auto:1, auto:2)#1}::operator()&lt;std::integral_constant&lt;bool, false&gt;, std::integral_constant&lt;bool, true&gt; &gt;(std::integral_constant&lt;bool, false&gt;, std::integral_constant&lt;bool, true&gt;) const::{lambda(auto:1)#1}, rocprim::ROCPRIM_400200_NS::detail::default_config_selector&gt;(rocprim::ROCPRIM_400200_NS::detail::scan_impl&lt;(rocprim::ROCPRIM_400200_NS::detail::lookback_scan_determinism)0, false, false, rocprim::ROCPRIM_400200_NS::default_config, int const*, int*, int, std::plus&lt;int&gt;, int&gt;(void*, unsigned long&amp;, int const*, int*, int, unsigned long, std::plus&lt;int&gt;, ihipStream_t*, bool)::{lambda(auto:1, auto:2)#1}::operator()&lt;std::integral_constant&lt;bool, false&gt;, std::integral_constant&lt;bool, true&gt; &gt;(std::integral_constant&lt;bool, false&gt;, std::integral_constant&lt;bool, true&gt;) const::{lambda(auto:1)#1})</t>
  </si>
  <si>
    <t>_prepare_prefill_inputs_kernel</t>
  </si>
  <si>
    <t>void rocprim::ROCPRIM_400200_NS::detail::init_lookback_scan_state_kernel&lt;rocprim::ROCPRIM_400200_NS::detail::lookback_scan_state&lt;int, false, true&gt;, rocprim::ROCPRIM_400200_NS::detail::block_id_wrapper&lt;unsigned int, true&gt; &gt;(rocprim::ROCPRIM_400200_NS::detail::lookback_scan_state&lt;int, false, true&gt;, unsigned int, rocprim::ROCPRIM_400200_NS::detail::block_id_wrapper&lt;unsigned int, true&gt;, unsigned int, rocprim::ROCPRIM_400200_NS::detail::lookback_scan_state&lt;int, false, true&gt;::value_type*)</t>
  </si>
  <si>
    <t>_build_prefill_chunk_metadata_kernel</t>
  </si>
  <si>
    <t>void at::native::elementwise_kernel_manual_unroll&lt;128, 4, at::native::gpu_kernel_impl_nocast&lt;at::native::CUDAFunctor_add&lt;int&gt; &gt;(at::TensorIteratorBase&amp;, at::native::CUDAFunctor_add&lt;int&gt; const&amp;)::{lambda(int, bool)#1}&gt;(int, at::native::gpu_kernel_impl_nocast&lt;at::native::CUDAFunctor_add&lt;int&gt; &gt;(at::TensorIteratorBase&amp;, at::native::CUDAFunctor_add&lt;int&gt; const&amp;)::{lambda(int, bool)#1})</t>
  </si>
  <si>
    <t>Moreh vLLm version</t>
  </si>
  <si>
    <t>Summary</t>
  </si>
  <si>
    <t>Proportion</t>
  </si>
  <si>
    <t>Total kernel time</t>
  </si>
  <si>
    <t>End-to-end time</t>
  </si>
  <si>
    <t>CPU + Profile overhead</t>
  </si>
  <si>
    <t>CPU overhead</t>
  </si>
  <si>
    <t>-</t>
  </si>
  <si>
    <t>Profile overhead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</si>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</sst>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0.0"/>
      <color rgb="FF000000"/>
      <name val="Arial"/>
      <scheme val="minor"/>
    </font>
    <font>
      <u/>
      <color theme="1"/>
      <name val="Arial"/>
      <scheme val="minor"/>
    </font>
    <font>
      <b/>
      <sz val="19.0"/>
      <color rgb="FF980000"/>
      <name val="Lexend"/>
    </font>
    <font>
      <color theme="1"/>
      <name val="Arial"/>
    </font>
    <font>
      <b/>
      <color theme="1"/>
      <name val="Lexend"/>
    </font>
    <font/>
    <font>
      <color theme="1"/>
      <name val="Lexend"/>
    </font>
    <font>
      <b/>
      <sz val="11.0"/>
      <color rgb="FF333333"/>
      <name val="Lexend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EFE"/>
        <bgColor rgb="FFFFFEFE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CFC"/>
        <bgColor rgb="FFFFFCF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readingOrder="0" shrinkToFit="0" wrapText="1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horizontal="center"/>
    </xf>
    <xf borderId="4" fillId="3" fontId="7" numFmtId="0" xfId="0" applyAlignment="1" applyBorder="1" applyFill="1" applyFont="1">
      <alignment horizontal="center"/>
    </xf>
    <xf borderId="4" fillId="3" fontId="4" numFmtId="1" xfId="0" applyAlignment="1" applyBorder="1" applyFont="1" applyNumberFormat="1">
      <alignment horizontal="center" shrinkToFit="0" wrapText="1"/>
    </xf>
    <xf borderId="4" fillId="3" fontId="4" numFmtId="164" xfId="0" applyAlignment="1" applyBorder="1" applyFont="1" applyNumberFormat="1">
      <alignment horizontal="center" shrinkToFit="0" wrapText="1"/>
    </xf>
    <xf borderId="4" fillId="4" fontId="4" numFmtId="4" xfId="0" applyAlignment="1" applyBorder="1" applyFill="1" applyFont="1" applyNumberFormat="1">
      <alignment horizontal="center" shrinkToFit="0" wrapText="1"/>
    </xf>
    <xf borderId="4" fillId="5" fontId="3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2" xfId="0" applyAlignment="1" applyBorder="1" applyFont="1" applyNumberFormat="1">
      <alignment readingOrder="0"/>
    </xf>
    <xf borderId="1" fillId="5" fontId="3" numFmtId="10" xfId="0" applyBorder="1" applyFont="1" applyNumberFormat="1"/>
    <xf borderId="5" fillId="0" fontId="3" numFmtId="0" xfId="0" applyAlignment="1" applyBorder="1" applyFont="1">
      <alignment vertical="top"/>
    </xf>
    <xf borderId="4" fillId="6" fontId="4" numFmtId="4" xfId="0" applyAlignment="1" applyBorder="1" applyFill="1" applyFont="1" applyNumberFormat="1">
      <alignment horizontal="center" shrinkToFit="0" wrapText="1"/>
    </xf>
    <xf borderId="4" fillId="5" fontId="3" numFmtId="10" xfId="0" applyBorder="1" applyFont="1" applyNumberFormat="1"/>
    <xf borderId="4" fillId="5" fontId="6" numFmtId="0" xfId="0" applyAlignment="1" applyBorder="1" applyFont="1">
      <alignment readingOrder="0" shrinkToFit="0" wrapText="0"/>
    </xf>
    <xf borderId="4" fillId="0" fontId="6" numFmtId="0" xfId="0" applyAlignment="1" applyBorder="1" applyFont="1">
      <alignment horizontal="right" readingOrder="0"/>
    </xf>
    <xf borderId="4" fillId="7" fontId="6" numFmtId="164" xfId="0" applyAlignment="1" applyBorder="1" applyFill="1" applyFont="1" applyNumberFormat="1">
      <alignment horizontal="right" readingOrder="0"/>
    </xf>
    <xf borderId="4" fillId="0" fontId="6" numFmtId="2" xfId="0" applyAlignment="1" applyBorder="1" applyFont="1" applyNumberFormat="1">
      <alignment horizontal="right" readingOrder="0"/>
    </xf>
    <xf borderId="4" fillId="5" fontId="6" numFmtId="10" xfId="0" applyAlignment="1" applyBorder="1" applyFont="1" applyNumberFormat="1">
      <alignment horizontal="center"/>
    </xf>
    <xf borderId="4" fillId="3" fontId="4" numFmtId="4" xfId="0" applyAlignment="1" applyBorder="1" applyFont="1" applyNumberFormat="1">
      <alignment horizontal="center" shrinkToFit="0" wrapText="1"/>
    </xf>
    <xf borderId="4" fillId="5" fontId="6" numFmtId="10" xfId="0" applyAlignment="1" applyBorder="1" applyFont="1" applyNumberFormat="1">
      <alignment horizontal="right"/>
    </xf>
    <xf borderId="4" fillId="8" fontId="4" numFmtId="0" xfId="0" applyAlignment="1" applyBorder="1" applyFill="1" applyFont="1">
      <alignment horizontal="center" shrinkToFit="0" wrapText="1"/>
    </xf>
    <xf borderId="4" fillId="9" fontId="4" numFmtId="0" xfId="0" applyAlignment="1" applyBorder="1" applyFill="1" applyFont="1">
      <alignment horizontal="center" shrinkToFit="0" wrapText="1"/>
    </xf>
    <xf borderId="6" fillId="0" fontId="3" numFmtId="0" xfId="0" applyAlignment="1" applyBorder="1" applyFont="1">
      <alignment vertical="bottom"/>
    </xf>
    <xf borderId="6" fillId="0" fontId="3" numFmtId="2" xfId="0" applyBorder="1" applyFont="1" applyNumberFormat="1"/>
    <xf borderId="4" fillId="0" fontId="3" numFmtId="0" xfId="0" applyBorder="1" applyFont="1"/>
    <xf borderId="4" fillId="0" fontId="3" numFmtId="2" xfId="0" applyBorder="1" applyFont="1" applyNumberFormat="1"/>
    <xf borderId="5" fillId="0" fontId="3" numFmtId="0" xfId="0" applyAlignment="1" applyBorder="1" applyFont="1">
      <alignment vertical="bottom"/>
    </xf>
    <xf borderId="7" fillId="10" fontId="4" numFmtId="4" xfId="0" applyAlignment="1" applyBorder="1" applyFill="1" applyFont="1" applyNumberFormat="1">
      <alignment horizontal="center" shrinkToFit="0" wrapText="1"/>
    </xf>
    <xf borderId="8" fillId="10" fontId="4" numFmtId="4" xfId="0" applyAlignment="1" applyBorder="1" applyFont="1" applyNumberFormat="1">
      <alignment horizontal="center" shrinkToFit="0" wrapText="1"/>
    </xf>
    <xf borderId="8" fillId="10" fontId="4" numFmtId="0" xfId="0" applyAlignment="1" applyBorder="1" applyFont="1">
      <alignment horizontal="center" shrinkToFit="0" wrapText="1"/>
    </xf>
    <xf borderId="0" fillId="0" fontId="3" numFmtId="4" xfId="0" applyAlignment="1" applyFont="1" applyNumberFormat="1">
      <alignment vertical="bottom"/>
    </xf>
    <xf borderId="7" fillId="0" fontId="5" numFmtId="0" xfId="0" applyBorder="1" applyFont="1"/>
    <xf borderId="4" fillId="0" fontId="6" numFmtId="2" xfId="0" applyAlignment="1" applyBorder="1" applyFont="1" applyNumberFormat="1">
      <alignment horizontal="center"/>
    </xf>
    <xf borderId="4" fillId="5" fontId="6" numFmtId="10" xfId="0" applyAlignment="1" applyBorder="1" applyFont="1" applyNumberFormat="1">
      <alignment horizontal="center" shrinkToFit="0" wrapText="1"/>
    </xf>
    <xf borderId="4" fillId="0" fontId="6" numFmtId="2" xfId="0" applyAlignment="1" applyBorder="1" applyFont="1" applyNumberFormat="1">
      <alignment horizontal="center" readingOrder="0"/>
    </xf>
    <xf borderId="4" fillId="5" fontId="3" numFmtId="0" xfId="0" applyBorder="1" applyFont="1"/>
    <xf borderId="0" fillId="0" fontId="6" numFmtId="0" xfId="0" applyAlignment="1" applyFont="1">
      <alignment shrinkToFit="0" vertical="bottom" wrapText="1"/>
    </xf>
    <xf borderId="8" fillId="0" fontId="5" numFmtId="0" xfId="0" applyBorder="1" applyFont="1"/>
    <xf borderId="4" fillId="11" fontId="6" numFmtId="2" xfId="0" applyAlignment="1" applyBorder="1" applyFill="1" applyFont="1" applyNumberFormat="1">
      <alignment horizontal="center" shrinkToFit="0" wrapText="1"/>
    </xf>
    <xf borderId="0" fillId="0" fontId="3" numFmtId="2" xfId="0" applyFont="1" applyNumberFormat="1"/>
    <xf borderId="0" fillId="0" fontId="8" numFmtId="0" xfId="0" applyFont="1"/>
    <xf borderId="0" fillId="0" fontId="8" numFmtId="1" xfId="0" applyFont="1" applyNumberFormat="1"/>
    <xf borderId="0" fillId="0" fontId="8" numFmtId="164" xfId="0" applyFont="1" applyNumberFormat="1"/>
    <xf borderId="0" fillId="0" fontId="8" numFmtId="2" xfId="0" applyFont="1" applyNumberFormat="1"/>
    <xf borderId="0" fillId="0" fontId="8" numFmtId="10" xfId="0" applyFont="1" applyNumberFormat="1"/>
    <xf borderId="0" fillId="0" fontId="8" numFmtId="4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B5D8A8"/>
          <bgColor rgb="FFB5D8A8"/>
        </patternFill>
      </fill>
      <border/>
    </dxf>
    <dxf>
      <font/>
      <fill>
        <patternFill patternType="solid">
          <fgColor rgb="FFEB9899"/>
          <bgColor rgb="FFEB98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uyen.ngo@moreh.com.v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  <col customWidth="1" min="10" max="10" width="63.0"/>
    <col customWidth="1" min="16" max="16" width="63.38"/>
  </cols>
  <sheetData>
    <row r="1">
      <c r="A1" s="1" t="s">
        <v>0</v>
      </c>
    </row>
    <row r="3">
      <c r="B3" s="2" t="s">
        <v>1</v>
      </c>
      <c r="C3" s="3"/>
      <c r="D3" s="3"/>
      <c r="E3" s="3"/>
      <c r="F3" s="3"/>
      <c r="G3" s="4"/>
      <c r="H3" s="4"/>
      <c r="I3" s="4"/>
      <c r="J3" s="2" t="s">
        <v>1</v>
      </c>
      <c r="K3" s="3"/>
      <c r="L3" s="3"/>
      <c r="M3" s="3"/>
      <c r="N3" s="3"/>
      <c r="O3" s="3"/>
      <c r="P3" s="2" t="s">
        <v>1</v>
      </c>
      <c r="Q3" s="3"/>
      <c r="R3" s="3"/>
      <c r="S3" s="3"/>
      <c r="T3" s="3"/>
      <c r="V3" s="2" t="s">
        <v>1</v>
      </c>
      <c r="W3" s="3"/>
      <c r="X3" s="3"/>
      <c r="Y3" s="3"/>
      <c r="Z3" s="3"/>
      <c r="AA3" s="4"/>
      <c r="AB3" s="4"/>
      <c r="AC3" s="4"/>
      <c r="AD3" s="2" t="s">
        <v>1</v>
      </c>
      <c r="AE3" s="3"/>
      <c r="AF3" s="3"/>
      <c r="AG3" s="3"/>
      <c r="AH3" s="3"/>
      <c r="AI3" s="3"/>
      <c r="AJ3" s="2" t="s">
        <v>1</v>
      </c>
      <c r="AK3" s="3"/>
      <c r="AL3" s="3"/>
      <c r="AM3" s="3"/>
      <c r="AN3" s="3"/>
      <c r="AP3" s="2" t="s">
        <v>1</v>
      </c>
      <c r="AQ3" s="3"/>
      <c r="AR3" s="3"/>
      <c r="AS3" s="3"/>
      <c r="AT3" s="3"/>
      <c r="AU3" s="3"/>
      <c r="AV3" s="2" t="s">
        <v>1</v>
      </c>
      <c r="AW3" s="3"/>
      <c r="AX3" s="3"/>
      <c r="AY3" s="3"/>
      <c r="AZ3" s="3"/>
    </row>
    <row r="4">
      <c r="B4" s="3"/>
      <c r="C4" s="3"/>
      <c r="D4" s="3"/>
      <c r="E4" s="3"/>
      <c r="F4" s="3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V4" s="3"/>
      <c r="W4" s="3"/>
      <c r="X4" s="3"/>
      <c r="Y4" s="3"/>
      <c r="Z4" s="3"/>
      <c r="AA4" s="4"/>
      <c r="AB4" s="4"/>
      <c r="AC4" s="4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>
      <c r="B5" s="5" t="s">
        <v>2</v>
      </c>
      <c r="C5" s="6"/>
      <c r="D5" s="6"/>
      <c r="E5" s="6"/>
      <c r="F5" s="7"/>
      <c r="G5" s="4"/>
      <c r="H5" s="8" t="s">
        <v>3</v>
      </c>
      <c r="I5" s="4"/>
      <c r="J5" s="5" t="s">
        <v>4</v>
      </c>
      <c r="K5" s="6"/>
      <c r="L5" s="6"/>
      <c r="M5" s="6"/>
      <c r="N5" s="7"/>
      <c r="O5" s="3"/>
      <c r="P5" s="5" t="s">
        <v>5</v>
      </c>
      <c r="Q5" s="6"/>
      <c r="R5" s="6"/>
      <c r="S5" s="6"/>
      <c r="T5" s="7"/>
      <c r="V5" s="5" t="s">
        <v>6</v>
      </c>
      <c r="W5" s="6"/>
      <c r="X5" s="6"/>
      <c r="Y5" s="6"/>
      <c r="Z5" s="7"/>
      <c r="AA5" s="4"/>
      <c r="AB5" s="8" t="s">
        <v>3</v>
      </c>
      <c r="AC5" s="4"/>
      <c r="AD5" s="5" t="s">
        <v>7</v>
      </c>
      <c r="AE5" s="6"/>
      <c r="AF5" s="6"/>
      <c r="AG5" s="6"/>
      <c r="AH5" s="7"/>
      <c r="AI5" s="3"/>
      <c r="AJ5" s="5" t="s">
        <v>8</v>
      </c>
      <c r="AK5" s="6"/>
      <c r="AL5" s="6"/>
      <c r="AM5" s="6"/>
      <c r="AN5" s="7"/>
      <c r="AP5" s="5" t="s">
        <v>9</v>
      </c>
      <c r="AQ5" s="6"/>
      <c r="AR5" s="6"/>
      <c r="AS5" s="6"/>
      <c r="AT5" s="7"/>
      <c r="AU5" s="3"/>
      <c r="AV5" s="5" t="s">
        <v>10</v>
      </c>
      <c r="AW5" s="6"/>
      <c r="AX5" s="6"/>
      <c r="AY5" s="6"/>
      <c r="AZ5" s="7"/>
    </row>
    <row r="6">
      <c r="B6" s="9" t="s">
        <v>11</v>
      </c>
      <c r="C6" s="10" t="s">
        <v>12</v>
      </c>
      <c r="D6" s="11" t="s">
        <v>13</v>
      </c>
      <c r="E6" s="11" t="s">
        <v>14</v>
      </c>
      <c r="F6" s="11" t="s">
        <v>15</v>
      </c>
      <c r="G6" s="4"/>
      <c r="H6" s="12" t="s">
        <v>16</v>
      </c>
      <c r="I6" s="4"/>
      <c r="J6" s="9" t="s">
        <v>11</v>
      </c>
      <c r="K6" s="10" t="s">
        <v>12</v>
      </c>
      <c r="L6" s="11" t="s">
        <v>13</v>
      </c>
      <c r="M6" s="11" t="s">
        <v>14</v>
      </c>
      <c r="N6" s="11" t="s">
        <v>15</v>
      </c>
      <c r="O6" s="3"/>
      <c r="P6" s="9" t="s">
        <v>11</v>
      </c>
      <c r="Q6" s="10" t="s">
        <v>12</v>
      </c>
      <c r="R6" s="11" t="s">
        <v>13</v>
      </c>
      <c r="S6" s="11" t="s">
        <v>14</v>
      </c>
      <c r="T6" s="11" t="s">
        <v>15</v>
      </c>
      <c r="V6" s="9" t="s">
        <v>11</v>
      </c>
      <c r="W6" s="10" t="s">
        <v>12</v>
      </c>
      <c r="X6" s="11" t="s">
        <v>13</v>
      </c>
      <c r="Y6" s="11" t="s">
        <v>14</v>
      </c>
      <c r="Z6" s="11" t="s">
        <v>15</v>
      </c>
      <c r="AA6" s="4"/>
      <c r="AB6" s="12" t="s">
        <v>16</v>
      </c>
      <c r="AC6" s="4"/>
      <c r="AD6" s="9" t="s">
        <v>11</v>
      </c>
      <c r="AE6" s="10" t="s">
        <v>12</v>
      </c>
      <c r="AF6" s="11" t="s">
        <v>13</v>
      </c>
      <c r="AG6" s="11" t="s">
        <v>14</v>
      </c>
      <c r="AH6" s="11" t="s">
        <v>15</v>
      </c>
      <c r="AI6" s="3"/>
      <c r="AJ6" s="9" t="s">
        <v>11</v>
      </c>
      <c r="AK6" s="10" t="s">
        <v>12</v>
      </c>
      <c r="AL6" s="11" t="s">
        <v>13</v>
      </c>
      <c r="AM6" s="11" t="s">
        <v>14</v>
      </c>
      <c r="AN6" s="11" t="s">
        <v>15</v>
      </c>
      <c r="AP6" s="9" t="s">
        <v>11</v>
      </c>
      <c r="AQ6" s="10" t="s">
        <v>12</v>
      </c>
      <c r="AR6" s="11" t="s">
        <v>13</v>
      </c>
      <c r="AS6" s="11" t="s">
        <v>14</v>
      </c>
      <c r="AT6" s="11" t="s">
        <v>15</v>
      </c>
      <c r="AU6" s="3"/>
      <c r="AV6" s="9" t="s">
        <v>11</v>
      </c>
      <c r="AW6" s="10" t="s">
        <v>12</v>
      </c>
      <c r="AX6" s="11" t="s">
        <v>13</v>
      </c>
      <c r="AY6" s="11" t="s">
        <v>14</v>
      </c>
      <c r="AZ6" s="11" t="s">
        <v>15</v>
      </c>
    </row>
    <row r="7">
      <c r="B7" s="13" t="s">
        <v>17</v>
      </c>
      <c r="C7" s="14" t="s">
        <v>18</v>
      </c>
      <c r="D7" s="15" t="s">
        <v>19</v>
      </c>
      <c r="E7" s="15" t="s">
        <v>20</v>
      </c>
      <c r="F7" s="16"/>
      <c r="G7" s="17"/>
      <c r="H7" s="18" t="s">
        <v>21</v>
      </c>
      <c r="I7" s="4"/>
      <c r="J7" s="13" t="s">
        <v>17</v>
      </c>
      <c r="K7" s="14" t="s">
        <v>18</v>
      </c>
      <c r="L7" s="15" t="s">
        <v>19</v>
      </c>
      <c r="M7" s="15" t="s">
        <v>20</v>
      </c>
      <c r="N7" s="19"/>
      <c r="O7" s="3"/>
      <c r="P7" s="13" t="s">
        <v>17</v>
      </c>
      <c r="Q7" s="14" t="s">
        <v>18</v>
      </c>
      <c r="R7" s="15" t="s">
        <v>19</v>
      </c>
      <c r="S7" s="15" t="s">
        <v>20</v>
      </c>
      <c r="T7" s="19" t="s">
        <v>22</v>
      </c>
      <c r="V7" s="13" t="s">
        <v>17</v>
      </c>
      <c r="W7" s="14" t="s">
        <v>18</v>
      </c>
      <c r="X7" s="15" t="s">
        <v>19</v>
      </c>
      <c r="Y7" s="15" t="s">
        <v>20</v>
      </c>
      <c r="Z7" s="16"/>
      <c r="AA7" s="17"/>
      <c r="AB7" s="18" t="s">
        <v>21</v>
      </c>
      <c r="AC7" s="4"/>
      <c r="AD7" s="13" t="s">
        <v>17</v>
      </c>
      <c r="AE7" s="14" t="s">
        <v>18</v>
      </c>
      <c r="AF7" s="15" t="s">
        <v>19</v>
      </c>
      <c r="AG7" s="15" t="s">
        <v>20</v>
      </c>
      <c r="AH7" s="19"/>
      <c r="AI7" s="3"/>
      <c r="AJ7" s="13" t="s">
        <v>17</v>
      </c>
      <c r="AK7" s="14" t="s">
        <v>18</v>
      </c>
      <c r="AL7" s="15" t="s">
        <v>19</v>
      </c>
      <c r="AM7" s="15" t="s">
        <v>20</v>
      </c>
      <c r="AN7" s="19" t="s">
        <v>22</v>
      </c>
      <c r="AP7" s="13" t="s">
        <v>17</v>
      </c>
      <c r="AQ7" s="14" t="s">
        <v>18</v>
      </c>
      <c r="AR7" s="15" t="s">
        <v>19</v>
      </c>
      <c r="AS7" s="15" t="s">
        <v>20</v>
      </c>
      <c r="AT7" s="19"/>
      <c r="AU7" s="3"/>
      <c r="AV7" s="13" t="s">
        <v>17</v>
      </c>
      <c r="AW7" s="14" t="s">
        <v>18</v>
      </c>
      <c r="AX7" s="15" t="s">
        <v>19</v>
      </c>
      <c r="AY7" s="15" t="s">
        <v>20</v>
      </c>
      <c r="AZ7" s="19" t="s">
        <v>22</v>
      </c>
    </row>
    <row r="8">
      <c r="B8" s="20" t="s">
        <v>23</v>
      </c>
      <c r="C8" s="21">
        <v>154615.0</v>
      </c>
      <c r="D8" s="22">
        <v>261.19950742166</v>
      </c>
      <c r="E8" s="23">
        <v>40385.36184</v>
      </c>
      <c r="F8" s="24">
        <f t="shared" ref="F8:F116" si="1">E8/$E$142</f>
        <v>0.5679917137</v>
      </c>
      <c r="G8" s="17"/>
      <c r="H8" s="25" t="s">
        <v>24</v>
      </c>
      <c r="I8" s="4"/>
      <c r="J8" s="20" t="s">
        <v>23</v>
      </c>
      <c r="K8" s="21">
        <v>154617.0</v>
      </c>
      <c r="L8" s="22">
        <v>269.283373102569</v>
      </c>
      <c r="M8" s="23">
        <v>41635.787299</v>
      </c>
      <c r="N8" s="26">
        <f t="shared" ref="N8:N116" si="2">M8/$M$142</f>
        <v>0.5831975896</v>
      </c>
      <c r="O8" s="3"/>
      <c r="P8" s="20" t="s">
        <v>23</v>
      </c>
      <c r="Q8" s="14">
        <v>154613.0</v>
      </c>
      <c r="R8" s="15">
        <v>264.901795877448</v>
      </c>
      <c r="S8" s="15">
        <v>40957.261366</v>
      </c>
      <c r="T8" s="26">
        <f t="shared" ref="T8:T129" si="3">S8/$S$142</f>
        <v>0.5750748576</v>
      </c>
      <c r="V8" s="20" t="s">
        <v>23</v>
      </c>
      <c r="W8" s="21">
        <v>154616.0</v>
      </c>
      <c r="X8" s="22">
        <v>271.220629682568</v>
      </c>
      <c r="Y8" s="23">
        <v>41935.048879</v>
      </c>
      <c r="Z8" s="24">
        <f t="shared" ref="Z8:Z129" si="4">Y8/$Y$142</f>
        <v>0.584608935</v>
      </c>
      <c r="AA8" s="17"/>
      <c r="AB8" s="25" t="s">
        <v>24</v>
      </c>
      <c r="AC8" s="4"/>
      <c r="AD8" s="20" t="s">
        <v>23</v>
      </c>
      <c r="AE8" s="21">
        <v>154612.0</v>
      </c>
      <c r="AF8" s="22">
        <v>271.42581659897</v>
      </c>
      <c r="AG8" s="23">
        <v>41965.688356</v>
      </c>
      <c r="AH8" s="26">
        <f t="shared" ref="AH8:AH116" si="5">AG8/$AG$142</f>
        <v>0.5821143105</v>
      </c>
      <c r="AI8" s="3"/>
      <c r="AJ8" s="20" t="s">
        <v>23</v>
      </c>
      <c r="AK8" s="14">
        <v>154639.0</v>
      </c>
      <c r="AL8" s="15">
        <v>285.581044296716</v>
      </c>
      <c r="AM8" s="15">
        <v>44161.967109</v>
      </c>
      <c r="AN8" s="26">
        <f t="shared" ref="AN8:AN116" si="6">AM8/$AM$142</f>
        <v>0.614608632</v>
      </c>
      <c r="AP8" s="20" t="s">
        <v>23</v>
      </c>
      <c r="AQ8" s="21">
        <v>154632.0</v>
      </c>
      <c r="AR8" s="22">
        <v>287.514568853794</v>
      </c>
      <c r="AS8" s="23">
        <v>44458.952811</v>
      </c>
      <c r="AT8" s="26">
        <f t="shared" ref="AT8:AT116" si="7">AS8/$AS$142</f>
        <v>0.6185431659</v>
      </c>
      <c r="AU8" s="3"/>
      <c r="AV8" s="20" t="s">
        <v>23</v>
      </c>
      <c r="AW8" s="14">
        <v>154613.0</v>
      </c>
      <c r="AX8" s="15">
        <v>260.664116167463</v>
      </c>
      <c r="AY8" s="15">
        <v>40302.060993</v>
      </c>
      <c r="AZ8" s="26">
        <f t="shared" ref="AZ8:AZ116" si="8">AY8/$AY$142</f>
        <v>0.5641283916</v>
      </c>
    </row>
    <row r="9">
      <c r="B9" s="20" t="s">
        <v>25</v>
      </c>
      <c r="C9" s="21">
        <v>244083.0</v>
      </c>
      <c r="D9" s="22">
        <v>18.7978213476563</v>
      </c>
      <c r="E9" s="23">
        <v>4588.228628</v>
      </c>
      <c r="F9" s="24">
        <f t="shared" si="1"/>
        <v>0.06453020903</v>
      </c>
      <c r="G9" s="17"/>
      <c r="H9" s="27" t="s">
        <v>26</v>
      </c>
      <c r="I9" s="4"/>
      <c r="J9" s="20" t="s">
        <v>25</v>
      </c>
      <c r="K9" s="21">
        <v>244086.0</v>
      </c>
      <c r="L9" s="22">
        <v>18.4212625181288</v>
      </c>
      <c r="M9" s="23">
        <v>4496.372283</v>
      </c>
      <c r="N9" s="26">
        <f t="shared" si="2"/>
        <v>0.06298123916</v>
      </c>
      <c r="O9" s="3"/>
      <c r="P9" s="20" t="s">
        <v>25</v>
      </c>
      <c r="Q9" s="14">
        <v>243854.0</v>
      </c>
      <c r="R9" s="15">
        <v>19.091776218557</v>
      </c>
      <c r="S9" s="15">
        <v>4655.605998</v>
      </c>
      <c r="T9" s="26">
        <f t="shared" si="3"/>
        <v>0.0653686762</v>
      </c>
      <c r="V9" s="20" t="s">
        <v>25</v>
      </c>
      <c r="W9" s="21">
        <v>243845.0</v>
      </c>
      <c r="X9" s="22">
        <v>18.4859979700219</v>
      </c>
      <c r="Y9" s="23">
        <v>4507.718175</v>
      </c>
      <c r="Z9" s="24">
        <f t="shared" si="4"/>
        <v>0.06284128413</v>
      </c>
      <c r="AA9" s="17"/>
      <c r="AB9" s="27" t="s">
        <v>26</v>
      </c>
      <c r="AC9" s="4"/>
      <c r="AD9" s="20" t="s">
        <v>25</v>
      </c>
      <c r="AE9" s="21">
        <v>244089.0</v>
      </c>
      <c r="AF9" s="22">
        <v>18.8589642138728</v>
      </c>
      <c r="AG9" s="23">
        <v>4603.265716</v>
      </c>
      <c r="AH9" s="26">
        <f t="shared" si="5"/>
        <v>0.06385280341</v>
      </c>
      <c r="AI9" s="3"/>
      <c r="AJ9" s="20" t="s">
        <v>25</v>
      </c>
      <c r="AK9" s="14">
        <v>244305.0</v>
      </c>
      <c r="AL9" s="15">
        <v>18.6942753975563</v>
      </c>
      <c r="AM9" s="15">
        <v>4567.104951</v>
      </c>
      <c r="AN9" s="26">
        <f t="shared" si="6"/>
        <v>0.06356107551</v>
      </c>
      <c r="AP9" s="20" t="s">
        <v>25</v>
      </c>
      <c r="AQ9" s="21">
        <v>244322.0</v>
      </c>
      <c r="AR9" s="22">
        <v>18.3542857826966</v>
      </c>
      <c r="AS9" s="23">
        <v>4484.355811</v>
      </c>
      <c r="AT9" s="26">
        <f t="shared" si="7"/>
        <v>0.06238940562</v>
      </c>
      <c r="AU9" s="3"/>
      <c r="AV9" s="20" t="s">
        <v>25</v>
      </c>
      <c r="AW9" s="14">
        <v>244080.0</v>
      </c>
      <c r="AX9" s="15">
        <v>18.7960951409374</v>
      </c>
      <c r="AY9" s="15">
        <v>4587.750902</v>
      </c>
      <c r="AZ9" s="26">
        <f t="shared" si="8"/>
        <v>0.06421707659</v>
      </c>
    </row>
    <row r="10">
      <c r="B10" s="20" t="s">
        <v>27</v>
      </c>
      <c r="C10" s="21">
        <v>77095.0</v>
      </c>
      <c r="D10" s="22">
        <v>48.5382807575069</v>
      </c>
      <c r="E10" s="23">
        <v>3742.058755</v>
      </c>
      <c r="F10" s="24">
        <f t="shared" si="1"/>
        <v>0.05262942482</v>
      </c>
      <c r="G10" s="17"/>
      <c r="H10" s="28" t="s">
        <v>28</v>
      </c>
      <c r="I10" s="29"/>
      <c r="J10" s="20" t="s">
        <v>27</v>
      </c>
      <c r="K10" s="21">
        <v>77095.0</v>
      </c>
      <c r="L10" s="22">
        <v>47.6585330306764</v>
      </c>
      <c r="M10" s="23">
        <v>3674.234604</v>
      </c>
      <c r="N10" s="26">
        <f t="shared" si="2"/>
        <v>0.05146545565</v>
      </c>
      <c r="O10" s="3"/>
      <c r="P10" s="20" t="s">
        <v>27</v>
      </c>
      <c r="Q10" s="14">
        <v>77096.0</v>
      </c>
      <c r="R10" s="15">
        <v>48.6762472631524</v>
      </c>
      <c r="S10" s="15">
        <v>3752.743959</v>
      </c>
      <c r="T10" s="26">
        <f t="shared" si="3"/>
        <v>0.05269172366</v>
      </c>
      <c r="V10" s="20" t="s">
        <v>27</v>
      </c>
      <c r="W10" s="21">
        <v>77092.0</v>
      </c>
      <c r="X10" s="22">
        <v>47.6867565765578</v>
      </c>
      <c r="Y10" s="23">
        <v>3676.267438</v>
      </c>
      <c r="Z10" s="24">
        <f t="shared" si="4"/>
        <v>0.05125017973</v>
      </c>
      <c r="AA10" s="17"/>
      <c r="AB10" s="28" t="s">
        <v>28</v>
      </c>
      <c r="AC10" s="29"/>
      <c r="AD10" s="20" t="s">
        <v>27</v>
      </c>
      <c r="AE10" s="21">
        <v>77091.0</v>
      </c>
      <c r="AF10" s="22">
        <v>47.8140237641229</v>
      </c>
      <c r="AG10" s="23">
        <v>3686.030906</v>
      </c>
      <c r="AH10" s="26">
        <f t="shared" si="5"/>
        <v>0.0511296591</v>
      </c>
      <c r="AI10" s="3"/>
      <c r="AJ10" s="20" t="s">
        <v>27</v>
      </c>
      <c r="AK10" s="14">
        <v>77098.0</v>
      </c>
      <c r="AL10" s="15">
        <v>48.0769639419959</v>
      </c>
      <c r="AM10" s="15">
        <v>3706.637766</v>
      </c>
      <c r="AN10" s="26">
        <f t="shared" si="6"/>
        <v>0.05158582635</v>
      </c>
      <c r="AP10" s="20" t="s">
        <v>27</v>
      </c>
      <c r="AQ10" s="21">
        <v>77092.0</v>
      </c>
      <c r="AR10" s="22">
        <v>47.4859858480776</v>
      </c>
      <c r="AS10" s="23">
        <v>3660.789621</v>
      </c>
      <c r="AT10" s="26">
        <f t="shared" si="7"/>
        <v>0.05093139309</v>
      </c>
      <c r="AU10" s="3"/>
      <c r="AV10" s="20" t="s">
        <v>27</v>
      </c>
      <c r="AW10" s="14">
        <v>77094.0</v>
      </c>
      <c r="AX10" s="15">
        <v>48.5632437803201</v>
      </c>
      <c r="AY10" s="15">
        <v>3743.934716</v>
      </c>
      <c r="AZ10" s="26">
        <f t="shared" si="8"/>
        <v>0.05240575339</v>
      </c>
    </row>
    <row r="11">
      <c r="B11" s="20" t="s">
        <v>29</v>
      </c>
      <c r="C11" s="21">
        <v>80404.0</v>
      </c>
      <c r="D11" s="22">
        <v>30.4897509452266</v>
      </c>
      <c r="E11" s="23">
        <v>2451.497935</v>
      </c>
      <c r="F11" s="24">
        <f t="shared" si="1"/>
        <v>0.03447859446</v>
      </c>
      <c r="G11" s="17"/>
      <c r="H11" s="4"/>
      <c r="I11" s="29"/>
      <c r="J11" s="20" t="s">
        <v>30</v>
      </c>
      <c r="K11" s="21">
        <v>21629.0</v>
      </c>
      <c r="L11" s="22">
        <v>104.886419159461</v>
      </c>
      <c r="M11" s="23">
        <v>2268.58836</v>
      </c>
      <c r="N11" s="26">
        <f t="shared" si="2"/>
        <v>0.03177639596</v>
      </c>
      <c r="O11" s="3"/>
      <c r="P11" s="20" t="s">
        <v>29</v>
      </c>
      <c r="Q11" s="14">
        <v>80407.0</v>
      </c>
      <c r="R11" s="15">
        <v>30.8580288407725</v>
      </c>
      <c r="S11" s="15">
        <v>2481.201525</v>
      </c>
      <c r="T11" s="26">
        <f t="shared" si="3"/>
        <v>0.03483818415</v>
      </c>
      <c r="V11" s="20" t="s">
        <v>29</v>
      </c>
      <c r="W11" s="21">
        <v>80404.0</v>
      </c>
      <c r="X11" s="22">
        <v>30.6763307173772</v>
      </c>
      <c r="Y11" s="23">
        <v>2466.499695</v>
      </c>
      <c r="Z11" s="24">
        <f t="shared" si="4"/>
        <v>0.03438502633</v>
      </c>
      <c r="AA11" s="17"/>
      <c r="AB11" s="4"/>
      <c r="AC11" s="29"/>
      <c r="AD11" s="20" t="s">
        <v>30</v>
      </c>
      <c r="AE11" s="21">
        <v>21627.0</v>
      </c>
      <c r="AF11" s="22">
        <v>105.475703934896</v>
      </c>
      <c r="AG11" s="23">
        <v>2281.123049</v>
      </c>
      <c r="AH11" s="26">
        <f t="shared" si="5"/>
        <v>0.03164190611</v>
      </c>
      <c r="AI11" s="3"/>
      <c r="AJ11" s="20" t="s">
        <v>30</v>
      </c>
      <c r="AK11" s="14">
        <v>21644.0</v>
      </c>
      <c r="AL11" s="15">
        <v>105.27782692663</v>
      </c>
      <c r="AM11" s="15">
        <v>2278.633286</v>
      </c>
      <c r="AN11" s="26">
        <f t="shared" si="6"/>
        <v>0.03171207667</v>
      </c>
      <c r="AP11" s="20" t="s">
        <v>30</v>
      </c>
      <c r="AQ11" s="21">
        <v>21647.0</v>
      </c>
      <c r="AR11" s="22">
        <v>104.973689194807</v>
      </c>
      <c r="AS11" s="23">
        <v>2272.36545</v>
      </c>
      <c r="AT11" s="26">
        <f t="shared" si="7"/>
        <v>0.03161469245</v>
      </c>
      <c r="AU11" s="3"/>
      <c r="AV11" s="20" t="s">
        <v>29</v>
      </c>
      <c r="AW11" s="14">
        <v>80410.0</v>
      </c>
      <c r="AX11" s="15">
        <v>30.0556259793558</v>
      </c>
      <c r="AY11" s="15">
        <v>2416.772885</v>
      </c>
      <c r="AZ11" s="26">
        <f t="shared" si="8"/>
        <v>0.03382879602</v>
      </c>
    </row>
    <row r="12">
      <c r="B12" s="20" t="s">
        <v>30</v>
      </c>
      <c r="C12" s="21">
        <v>21628.0</v>
      </c>
      <c r="D12" s="22">
        <v>104.358132282226</v>
      </c>
      <c r="E12" s="23">
        <v>2257.057685</v>
      </c>
      <c r="F12" s="24">
        <f t="shared" si="1"/>
        <v>0.03174392909</v>
      </c>
      <c r="G12" s="17"/>
      <c r="H12" s="4"/>
      <c r="I12" s="29"/>
      <c r="J12" s="20" t="s">
        <v>29</v>
      </c>
      <c r="K12" s="21">
        <v>80408.0</v>
      </c>
      <c r="L12" s="22">
        <v>25.7885497214207</v>
      </c>
      <c r="M12" s="23">
        <v>2073.605706</v>
      </c>
      <c r="N12" s="26">
        <f t="shared" si="2"/>
        <v>0.02904524997</v>
      </c>
      <c r="O12" s="3"/>
      <c r="P12" s="20" t="s">
        <v>31</v>
      </c>
      <c r="Q12" s="14">
        <v>77089.0</v>
      </c>
      <c r="R12" s="15">
        <v>26.5370343369352</v>
      </c>
      <c r="S12" s="15">
        <v>2045.71344</v>
      </c>
      <c r="T12" s="26">
        <f t="shared" si="3"/>
        <v>0.02872356027</v>
      </c>
      <c r="V12" s="20" t="s">
        <v>31</v>
      </c>
      <c r="W12" s="21">
        <v>77090.0</v>
      </c>
      <c r="X12" s="22">
        <v>26.2609736282267</v>
      </c>
      <c r="Y12" s="23">
        <v>2024.458457</v>
      </c>
      <c r="Z12" s="24">
        <f t="shared" si="4"/>
        <v>0.02822260935</v>
      </c>
      <c r="AA12" s="17"/>
      <c r="AB12" s="4"/>
      <c r="AC12" s="29"/>
      <c r="AD12" s="20" t="s">
        <v>29</v>
      </c>
      <c r="AE12" s="21">
        <v>80409.0</v>
      </c>
      <c r="AF12" s="22">
        <v>25.881927545424</v>
      </c>
      <c r="AG12" s="23">
        <v>2081.139912</v>
      </c>
      <c r="AH12" s="26">
        <f t="shared" si="5"/>
        <v>0.02886790072</v>
      </c>
      <c r="AI12" s="3"/>
      <c r="AJ12" s="20" t="s">
        <v>31</v>
      </c>
      <c r="AK12" s="14">
        <v>77097.0</v>
      </c>
      <c r="AL12" s="15">
        <v>26.3962228621087</v>
      </c>
      <c r="AM12" s="15">
        <v>2035.069594</v>
      </c>
      <c r="AN12" s="26">
        <f t="shared" si="6"/>
        <v>0.02832236472</v>
      </c>
      <c r="AP12" s="20" t="s">
        <v>31</v>
      </c>
      <c r="AQ12" s="21">
        <v>77094.0</v>
      </c>
      <c r="AR12" s="22">
        <v>26.2472124678963</v>
      </c>
      <c r="AS12" s="23">
        <v>2023.502598</v>
      </c>
      <c r="AT12" s="26">
        <f t="shared" si="7"/>
        <v>0.02815234332</v>
      </c>
      <c r="AU12" s="3"/>
      <c r="AV12" s="20" t="s">
        <v>30</v>
      </c>
      <c r="AW12" s="14">
        <v>21626.0</v>
      </c>
      <c r="AX12" s="15">
        <v>104.563449597706</v>
      </c>
      <c r="AY12" s="15">
        <v>2261.289161</v>
      </c>
      <c r="AZ12" s="26">
        <f t="shared" si="8"/>
        <v>0.03165241146</v>
      </c>
    </row>
    <row r="13">
      <c r="B13" s="20" t="s">
        <v>31</v>
      </c>
      <c r="C13" s="21">
        <v>77092.0</v>
      </c>
      <c r="D13" s="22">
        <v>26.7518536164582</v>
      </c>
      <c r="E13" s="23">
        <v>2062.353899</v>
      </c>
      <c r="F13" s="24">
        <f t="shared" si="1"/>
        <v>0.02900555726</v>
      </c>
      <c r="G13" s="17"/>
      <c r="H13" s="4"/>
      <c r="I13" s="29"/>
      <c r="J13" s="20" t="s">
        <v>31</v>
      </c>
      <c r="K13" s="21">
        <v>77089.0</v>
      </c>
      <c r="L13" s="22">
        <v>26.3835779034622</v>
      </c>
      <c r="M13" s="23">
        <v>2033.883637</v>
      </c>
      <c r="N13" s="26">
        <f t="shared" si="2"/>
        <v>0.02848885806</v>
      </c>
      <c r="O13" s="3"/>
      <c r="P13" s="20" t="s">
        <v>32</v>
      </c>
      <c r="Q13" s="14">
        <v>231722.0</v>
      </c>
      <c r="R13" s="15">
        <v>4.80489861989798</v>
      </c>
      <c r="S13" s="15">
        <v>1113.400718</v>
      </c>
      <c r="T13" s="26">
        <f t="shared" si="3"/>
        <v>0.01563309504</v>
      </c>
      <c r="V13" s="20" t="s">
        <v>32</v>
      </c>
      <c r="W13" s="21">
        <v>231727.0</v>
      </c>
      <c r="X13" s="22">
        <v>4.73471282155294</v>
      </c>
      <c r="Y13" s="23">
        <v>1097.160798</v>
      </c>
      <c r="Z13" s="24">
        <f t="shared" si="4"/>
        <v>0.01529532033</v>
      </c>
      <c r="AA13" s="17"/>
      <c r="AB13" s="4"/>
      <c r="AC13" s="29"/>
      <c r="AD13" s="20" t="s">
        <v>31</v>
      </c>
      <c r="AE13" s="21">
        <v>77094.0</v>
      </c>
      <c r="AF13" s="22">
        <v>26.3185176148597</v>
      </c>
      <c r="AG13" s="23">
        <v>2028.999797</v>
      </c>
      <c r="AH13" s="26">
        <f t="shared" si="5"/>
        <v>0.02814465493</v>
      </c>
      <c r="AI13" s="3"/>
      <c r="AJ13" s="20" t="s">
        <v>32</v>
      </c>
      <c r="AK13" s="14">
        <v>231745.0</v>
      </c>
      <c r="AL13" s="15">
        <v>4.92950169367192</v>
      </c>
      <c r="AM13" s="15">
        <v>1142.38737</v>
      </c>
      <c r="AN13" s="26">
        <f t="shared" si="6"/>
        <v>0.0158987741</v>
      </c>
      <c r="AP13" s="20" t="s">
        <v>32</v>
      </c>
      <c r="AQ13" s="21">
        <v>231731.0</v>
      </c>
      <c r="AR13" s="22">
        <v>4.89040903029806</v>
      </c>
      <c r="AS13" s="23">
        <v>1133.259375</v>
      </c>
      <c r="AT13" s="26">
        <f t="shared" si="7"/>
        <v>0.01576667459</v>
      </c>
      <c r="AU13" s="3"/>
      <c r="AV13" s="20" t="s">
        <v>31</v>
      </c>
      <c r="AW13" s="14">
        <v>77091.0</v>
      </c>
      <c r="AX13" s="15">
        <v>26.9657032078971</v>
      </c>
      <c r="AY13" s="15">
        <v>2078.813026</v>
      </c>
      <c r="AZ13" s="26">
        <f t="shared" si="8"/>
        <v>0.02909820044</v>
      </c>
    </row>
    <row r="14">
      <c r="B14" s="20" t="s">
        <v>32</v>
      </c>
      <c r="C14" s="21">
        <v>231720.0</v>
      </c>
      <c r="D14" s="22">
        <v>4.72583374762644</v>
      </c>
      <c r="E14" s="23">
        <v>1095.070196</v>
      </c>
      <c r="F14" s="24">
        <f t="shared" si="1"/>
        <v>0.01540139221</v>
      </c>
      <c r="G14" s="17"/>
      <c r="H14" s="4"/>
      <c r="I14" s="29"/>
      <c r="J14" s="20" t="s">
        <v>32</v>
      </c>
      <c r="K14" s="21">
        <v>231735.0</v>
      </c>
      <c r="L14" s="22">
        <v>4.79288893779532</v>
      </c>
      <c r="M14" s="23">
        <v>1110.680118</v>
      </c>
      <c r="N14" s="26">
        <f t="shared" si="2"/>
        <v>0.01555743291</v>
      </c>
      <c r="O14" s="3"/>
      <c r="P14" s="20" t="s">
        <v>33</v>
      </c>
      <c r="Q14" s="14">
        <v>101862.0</v>
      </c>
      <c r="R14" s="15">
        <v>9.57455789205002</v>
      </c>
      <c r="S14" s="15">
        <v>975.283616</v>
      </c>
      <c r="T14" s="26">
        <f t="shared" si="3"/>
        <v>0.01369381321</v>
      </c>
      <c r="V14" s="20" t="s">
        <v>33</v>
      </c>
      <c r="W14" s="21">
        <v>101863.0</v>
      </c>
      <c r="X14" s="22">
        <v>9.40467686991351</v>
      </c>
      <c r="Y14" s="23">
        <v>957.9886</v>
      </c>
      <c r="Z14" s="24">
        <f t="shared" si="4"/>
        <v>0.01335514588</v>
      </c>
      <c r="AA14" s="17"/>
      <c r="AB14" s="4"/>
      <c r="AC14" s="29"/>
      <c r="AD14" s="20" t="s">
        <v>32</v>
      </c>
      <c r="AE14" s="21">
        <v>231725.0</v>
      </c>
      <c r="AF14" s="22">
        <v>4.98292947243499</v>
      </c>
      <c r="AG14" s="23">
        <v>1154.669332</v>
      </c>
      <c r="AH14" s="26">
        <f t="shared" si="5"/>
        <v>0.01601664523</v>
      </c>
      <c r="AI14" s="3"/>
      <c r="AJ14" s="20" t="s">
        <v>29</v>
      </c>
      <c r="AK14" s="14">
        <v>80406.0</v>
      </c>
      <c r="AL14" s="15">
        <v>13.8274948262567</v>
      </c>
      <c r="AM14" s="15">
        <v>1111.813549</v>
      </c>
      <c r="AN14" s="26">
        <f t="shared" si="6"/>
        <v>0.0154732737</v>
      </c>
      <c r="AP14" s="20" t="s">
        <v>29</v>
      </c>
      <c r="AQ14" s="21">
        <v>80402.0</v>
      </c>
      <c r="AR14" s="22">
        <v>13.7084083604885</v>
      </c>
      <c r="AS14" s="23">
        <v>1102.183449</v>
      </c>
      <c r="AT14" s="26">
        <f t="shared" si="7"/>
        <v>0.01533432519</v>
      </c>
      <c r="AU14" s="3"/>
      <c r="AV14" s="20" t="s">
        <v>32</v>
      </c>
      <c r="AW14" s="14">
        <v>231737.0</v>
      </c>
      <c r="AX14" s="15">
        <v>4.91985266918964</v>
      </c>
      <c r="AY14" s="15">
        <v>1140.111898</v>
      </c>
      <c r="AZ14" s="26">
        <f t="shared" si="8"/>
        <v>0.01595872458</v>
      </c>
    </row>
    <row r="15">
      <c r="B15" s="20" t="s">
        <v>33</v>
      </c>
      <c r="C15" s="21">
        <v>101964.0</v>
      </c>
      <c r="D15" s="22">
        <v>9.43660811659016</v>
      </c>
      <c r="E15" s="23">
        <v>962.19431</v>
      </c>
      <c r="F15" s="24">
        <f t="shared" si="1"/>
        <v>0.01353258632</v>
      </c>
      <c r="G15" s="17"/>
      <c r="H15" s="4"/>
      <c r="I15" s="30"/>
      <c r="J15" s="20" t="s">
        <v>33</v>
      </c>
      <c r="K15" s="21">
        <v>101964.0</v>
      </c>
      <c r="L15" s="22">
        <v>9.45135343846847</v>
      </c>
      <c r="M15" s="23">
        <v>963.697802</v>
      </c>
      <c r="N15" s="26">
        <f t="shared" si="2"/>
        <v>0.01349863355</v>
      </c>
      <c r="O15" s="3"/>
      <c r="P15" s="20" t="s">
        <v>34</v>
      </c>
      <c r="Q15" s="14">
        <v>225.0</v>
      </c>
      <c r="R15" s="15">
        <v>3764.17584888888</v>
      </c>
      <c r="S15" s="15">
        <v>846.939566</v>
      </c>
      <c r="T15" s="26">
        <f t="shared" si="3"/>
        <v>0.01189175336</v>
      </c>
      <c r="V15" s="20" t="s">
        <v>34</v>
      </c>
      <c r="W15" s="21">
        <v>225.0</v>
      </c>
      <c r="X15" s="22">
        <v>3937.76257333333</v>
      </c>
      <c r="Y15" s="23">
        <v>885.996579</v>
      </c>
      <c r="Z15" s="24">
        <f t="shared" si="4"/>
        <v>0.01235151813</v>
      </c>
      <c r="AA15" s="17"/>
      <c r="AB15" s="4"/>
      <c r="AC15" s="30"/>
      <c r="AD15" s="20" t="s">
        <v>33</v>
      </c>
      <c r="AE15" s="21">
        <v>101962.0</v>
      </c>
      <c r="AF15" s="22">
        <v>9.44040818147937</v>
      </c>
      <c r="AG15" s="23">
        <v>962.562899</v>
      </c>
      <c r="AH15" s="26">
        <f t="shared" si="5"/>
        <v>0.01335189914</v>
      </c>
      <c r="AI15" s="3"/>
      <c r="AJ15" s="20" t="s">
        <v>33</v>
      </c>
      <c r="AK15" s="14">
        <v>102062.0</v>
      </c>
      <c r="AL15" s="15">
        <v>9.44350212615861</v>
      </c>
      <c r="AM15" s="15">
        <v>963.822714</v>
      </c>
      <c r="AN15" s="26">
        <f t="shared" si="6"/>
        <v>0.01341366335</v>
      </c>
      <c r="AP15" s="20" t="s">
        <v>33</v>
      </c>
      <c r="AQ15" s="21">
        <v>102058.0</v>
      </c>
      <c r="AR15" s="22">
        <v>9.46187833388857</v>
      </c>
      <c r="AS15" s="23">
        <v>965.660379</v>
      </c>
      <c r="AT15" s="26">
        <f t="shared" si="7"/>
        <v>0.01343492346</v>
      </c>
      <c r="AU15" s="3"/>
      <c r="AV15" s="20" t="s">
        <v>33</v>
      </c>
      <c r="AW15" s="14">
        <v>101960.0</v>
      </c>
      <c r="AX15" s="15">
        <v>9.43620025500196</v>
      </c>
      <c r="AY15" s="15">
        <v>962.114978</v>
      </c>
      <c r="AZ15" s="26">
        <f t="shared" si="8"/>
        <v>0.0134672114</v>
      </c>
    </row>
    <row r="16">
      <c r="B16" s="20" t="s">
        <v>34</v>
      </c>
      <c r="C16" s="21">
        <v>225.0</v>
      </c>
      <c r="D16" s="22">
        <v>3738.42476</v>
      </c>
      <c r="E16" s="23">
        <v>841.145571</v>
      </c>
      <c r="F16" s="24">
        <f t="shared" si="1"/>
        <v>0.01183012093</v>
      </c>
      <c r="G16" s="17"/>
      <c r="H16" s="4"/>
      <c r="I16" s="30"/>
      <c r="J16" s="20" t="s">
        <v>34</v>
      </c>
      <c r="K16" s="21">
        <v>225.0</v>
      </c>
      <c r="L16" s="22">
        <v>3552.84746666666</v>
      </c>
      <c r="M16" s="23">
        <v>799.39068</v>
      </c>
      <c r="N16" s="26">
        <f t="shared" si="2"/>
        <v>0.0111971635</v>
      </c>
      <c r="O16" s="3"/>
      <c r="P16" s="20" t="s">
        <v>30</v>
      </c>
      <c r="Q16" s="14">
        <v>21629.0</v>
      </c>
      <c r="R16" s="15">
        <v>38.5378113181376</v>
      </c>
      <c r="S16" s="15">
        <v>833.534321</v>
      </c>
      <c r="T16" s="26">
        <f t="shared" si="3"/>
        <v>0.01170353229</v>
      </c>
      <c r="V16" s="20" t="s">
        <v>30</v>
      </c>
      <c r="W16" s="21">
        <v>21628.0</v>
      </c>
      <c r="X16" s="22">
        <v>38.6579797947105</v>
      </c>
      <c r="Y16" s="23">
        <v>836.094787</v>
      </c>
      <c r="Z16" s="24">
        <f t="shared" si="4"/>
        <v>0.01165584627</v>
      </c>
      <c r="AA16" s="17"/>
      <c r="AB16" s="4"/>
      <c r="AC16" s="30"/>
      <c r="AD16" s="20" t="s">
        <v>34</v>
      </c>
      <c r="AE16" s="21">
        <v>224.0</v>
      </c>
      <c r="AF16" s="22">
        <v>3820.85845982142</v>
      </c>
      <c r="AG16" s="23">
        <v>855.872295</v>
      </c>
      <c r="AH16" s="26">
        <f t="shared" si="5"/>
        <v>0.0118719728</v>
      </c>
      <c r="AI16" s="3"/>
      <c r="AJ16" s="20" t="s">
        <v>34</v>
      </c>
      <c r="AK16" s="14">
        <v>225.0</v>
      </c>
      <c r="AL16" s="15">
        <v>3717.8124</v>
      </c>
      <c r="AM16" s="15">
        <v>836.50779</v>
      </c>
      <c r="AN16" s="26">
        <f t="shared" si="6"/>
        <v>0.01164180271</v>
      </c>
      <c r="AP16" s="20" t="s">
        <v>34</v>
      </c>
      <c r="AQ16" s="21">
        <v>225.0</v>
      </c>
      <c r="AR16" s="22">
        <v>3525.06379111111</v>
      </c>
      <c r="AS16" s="23">
        <v>793.139353</v>
      </c>
      <c r="AT16" s="26">
        <f t="shared" si="7"/>
        <v>0.0110346937</v>
      </c>
      <c r="AU16" s="3"/>
      <c r="AV16" s="20" t="s">
        <v>34</v>
      </c>
      <c r="AW16" s="14">
        <v>225.0</v>
      </c>
      <c r="AX16" s="15">
        <v>3750.61924</v>
      </c>
      <c r="AY16" s="15">
        <v>843.889329</v>
      </c>
      <c r="AZ16" s="26">
        <f t="shared" si="8"/>
        <v>0.01181234702</v>
      </c>
    </row>
    <row r="17">
      <c r="B17" s="20" t="s">
        <v>35</v>
      </c>
      <c r="C17" s="21">
        <v>76644.0</v>
      </c>
      <c r="D17" s="22">
        <v>10.2288329549605</v>
      </c>
      <c r="E17" s="23">
        <v>783.978673</v>
      </c>
      <c r="F17" s="24">
        <f t="shared" si="1"/>
        <v>0.01102610871</v>
      </c>
      <c r="G17" s="17"/>
      <c r="H17" s="4"/>
      <c r="I17" s="29"/>
      <c r="J17" s="20" t="s">
        <v>35</v>
      </c>
      <c r="K17" s="21">
        <v>76643.0</v>
      </c>
      <c r="L17" s="22">
        <v>10.19603280143</v>
      </c>
      <c r="M17" s="23">
        <v>781.454542</v>
      </c>
      <c r="N17" s="26">
        <f t="shared" si="2"/>
        <v>0.01094592981</v>
      </c>
      <c r="O17" s="3"/>
      <c r="P17" s="20" t="s">
        <v>35</v>
      </c>
      <c r="Q17" s="14">
        <v>76643.0</v>
      </c>
      <c r="R17" s="15">
        <v>10.1335724854194</v>
      </c>
      <c r="S17" s="15">
        <v>776.667396</v>
      </c>
      <c r="T17" s="26">
        <f t="shared" si="3"/>
        <v>0.0109050722</v>
      </c>
      <c r="V17" s="20" t="s">
        <v>35</v>
      </c>
      <c r="W17" s="21">
        <v>76646.0</v>
      </c>
      <c r="X17" s="22">
        <v>10.0291772956188</v>
      </c>
      <c r="Y17" s="23">
        <v>768.696323</v>
      </c>
      <c r="Z17" s="24">
        <f t="shared" si="4"/>
        <v>0.01071625647</v>
      </c>
      <c r="AA17" s="17"/>
      <c r="AB17" s="4"/>
      <c r="AC17" s="29"/>
      <c r="AD17" s="20" t="s">
        <v>35</v>
      </c>
      <c r="AE17" s="21">
        <v>76642.0</v>
      </c>
      <c r="AF17" s="22">
        <v>10.0343408183502</v>
      </c>
      <c r="AG17" s="23">
        <v>769.051949</v>
      </c>
      <c r="AH17" s="26">
        <f t="shared" si="5"/>
        <v>0.01066767072</v>
      </c>
      <c r="AI17" s="3"/>
      <c r="AJ17" s="20" t="s">
        <v>35</v>
      </c>
      <c r="AK17" s="14">
        <v>76648.0</v>
      </c>
      <c r="AL17" s="15">
        <v>10.0288556518108</v>
      </c>
      <c r="AM17" s="15">
        <v>768.691728</v>
      </c>
      <c r="AN17" s="26">
        <f t="shared" si="6"/>
        <v>0.01069799654</v>
      </c>
      <c r="AP17" s="20" t="s">
        <v>35</v>
      </c>
      <c r="AQ17" s="21">
        <v>76644.0</v>
      </c>
      <c r="AR17" s="22">
        <v>10.2499373466938</v>
      </c>
      <c r="AS17" s="23">
        <v>785.596198</v>
      </c>
      <c r="AT17" s="26">
        <f t="shared" si="7"/>
        <v>0.0109297482</v>
      </c>
      <c r="AU17" s="3"/>
      <c r="AV17" s="20" t="s">
        <v>35</v>
      </c>
      <c r="AW17" s="14">
        <v>76642.0</v>
      </c>
      <c r="AX17" s="15">
        <v>10.2005541217609</v>
      </c>
      <c r="AY17" s="15">
        <v>781.790869</v>
      </c>
      <c r="AZ17" s="26">
        <f t="shared" si="8"/>
        <v>0.01094312337</v>
      </c>
    </row>
    <row r="18">
      <c r="B18" s="20" t="s">
        <v>36</v>
      </c>
      <c r="C18" s="21">
        <v>160819.0</v>
      </c>
      <c r="D18" s="22">
        <v>4.63858304056112</v>
      </c>
      <c r="E18" s="23">
        <v>745.972286</v>
      </c>
      <c r="F18" s="24">
        <f t="shared" si="1"/>
        <v>0.0104915756</v>
      </c>
      <c r="G18" s="17"/>
      <c r="H18" s="4"/>
      <c r="I18" s="29"/>
      <c r="J18" s="20" t="s">
        <v>36</v>
      </c>
      <c r="K18" s="21">
        <v>160820.0</v>
      </c>
      <c r="L18" s="22">
        <v>4.57585884840194</v>
      </c>
      <c r="M18" s="23">
        <v>735.88962</v>
      </c>
      <c r="N18" s="26">
        <f t="shared" si="2"/>
        <v>0.01030769635</v>
      </c>
      <c r="O18" s="3"/>
      <c r="P18" s="20" t="s">
        <v>36</v>
      </c>
      <c r="Q18" s="14">
        <v>160820.0</v>
      </c>
      <c r="R18" s="15">
        <v>4.7233276271608</v>
      </c>
      <c r="S18" s="15">
        <v>759.605549</v>
      </c>
      <c r="T18" s="26">
        <f t="shared" si="3"/>
        <v>0.01066550932</v>
      </c>
      <c r="V18" s="20" t="s">
        <v>36</v>
      </c>
      <c r="W18" s="21">
        <v>160825.0</v>
      </c>
      <c r="X18" s="22">
        <v>4.6515122027048</v>
      </c>
      <c r="Y18" s="23">
        <v>748.07945</v>
      </c>
      <c r="Z18" s="24">
        <f t="shared" si="4"/>
        <v>0.01042884037</v>
      </c>
      <c r="AA18" s="17"/>
      <c r="AB18" s="4"/>
      <c r="AC18" s="29"/>
      <c r="AD18" s="20" t="s">
        <v>36</v>
      </c>
      <c r="AE18" s="21">
        <v>160818.0</v>
      </c>
      <c r="AF18" s="22">
        <v>4.70992369013418</v>
      </c>
      <c r="AG18" s="23">
        <v>757.440508</v>
      </c>
      <c r="AH18" s="26">
        <f t="shared" si="5"/>
        <v>0.01050660614</v>
      </c>
      <c r="AI18" s="3"/>
      <c r="AJ18" s="20" t="s">
        <v>36</v>
      </c>
      <c r="AK18" s="14">
        <v>160812.0</v>
      </c>
      <c r="AL18" s="15">
        <v>4.67942070243514</v>
      </c>
      <c r="AM18" s="15">
        <v>752.507002</v>
      </c>
      <c r="AN18" s="26">
        <f t="shared" si="6"/>
        <v>0.01047275131</v>
      </c>
      <c r="AP18" s="20" t="s">
        <v>36</v>
      </c>
      <c r="AQ18" s="21">
        <v>160822.0</v>
      </c>
      <c r="AR18" s="22">
        <v>4.61871450423449</v>
      </c>
      <c r="AS18" s="23">
        <v>742.790904</v>
      </c>
      <c r="AT18" s="26">
        <f t="shared" si="7"/>
        <v>0.01033421186</v>
      </c>
      <c r="AU18" s="3"/>
      <c r="AV18" s="20" t="s">
        <v>36</v>
      </c>
      <c r="AW18" s="14">
        <v>160819.0</v>
      </c>
      <c r="AX18" s="15">
        <v>4.71633955564951</v>
      </c>
      <c r="AY18" s="15">
        <v>758.477011</v>
      </c>
      <c r="AZ18" s="26">
        <f t="shared" si="8"/>
        <v>0.01061678747</v>
      </c>
    </row>
    <row r="19">
      <c r="B19" s="20" t="s">
        <v>37</v>
      </c>
      <c r="C19" s="21">
        <v>160813.0</v>
      </c>
      <c r="D19" s="22">
        <v>4.33789849079365</v>
      </c>
      <c r="E19" s="23">
        <v>697.59047</v>
      </c>
      <c r="F19" s="24">
        <f t="shared" si="1"/>
        <v>0.009811119387</v>
      </c>
      <c r="G19" s="17"/>
      <c r="H19" s="4"/>
      <c r="I19" s="29"/>
      <c r="J19" s="20" t="s">
        <v>37</v>
      </c>
      <c r="K19" s="21">
        <v>160820.0</v>
      </c>
      <c r="L19" s="22">
        <v>4.35932438129585</v>
      </c>
      <c r="M19" s="23">
        <v>701.066547</v>
      </c>
      <c r="N19" s="26">
        <f t="shared" si="2"/>
        <v>0.009819925283</v>
      </c>
      <c r="O19" s="3"/>
      <c r="P19" s="20" t="s">
        <v>37</v>
      </c>
      <c r="Q19" s="14">
        <v>160823.0</v>
      </c>
      <c r="R19" s="15">
        <v>4.38682604478215</v>
      </c>
      <c r="S19" s="15">
        <v>705.502525</v>
      </c>
      <c r="T19" s="26">
        <f t="shared" si="3"/>
        <v>0.009905856754</v>
      </c>
      <c r="V19" s="20" t="s">
        <v>37</v>
      </c>
      <c r="W19" s="21">
        <v>160822.0</v>
      </c>
      <c r="X19" s="22">
        <v>4.35789535013866</v>
      </c>
      <c r="Y19" s="23">
        <v>700.845446</v>
      </c>
      <c r="Z19" s="24">
        <f t="shared" si="4"/>
        <v>0.009770359658</v>
      </c>
      <c r="AA19" s="17"/>
      <c r="AB19" s="4"/>
      <c r="AC19" s="29"/>
      <c r="AD19" s="20" t="s">
        <v>37</v>
      </c>
      <c r="AE19" s="21">
        <v>160824.0</v>
      </c>
      <c r="AF19" s="22">
        <v>4.53288609287171</v>
      </c>
      <c r="AG19" s="23">
        <v>728.996873</v>
      </c>
      <c r="AH19" s="26">
        <f t="shared" si="5"/>
        <v>0.01011205889</v>
      </c>
      <c r="AI19" s="3"/>
      <c r="AJ19" s="20" t="s">
        <v>37</v>
      </c>
      <c r="AK19" s="14">
        <v>160826.0</v>
      </c>
      <c r="AL19" s="15">
        <v>4.47324573141158</v>
      </c>
      <c r="AM19" s="15">
        <v>719.414218</v>
      </c>
      <c r="AN19" s="26">
        <f t="shared" si="6"/>
        <v>0.01001219414</v>
      </c>
      <c r="AP19" s="20" t="s">
        <v>37</v>
      </c>
      <c r="AQ19" s="21">
        <v>160826.0</v>
      </c>
      <c r="AR19" s="22">
        <v>4.43479055003544</v>
      </c>
      <c r="AS19" s="23">
        <v>713.229625</v>
      </c>
      <c r="AT19" s="26">
        <f t="shared" si="7"/>
        <v>0.009922935256</v>
      </c>
      <c r="AU19" s="3"/>
      <c r="AV19" s="20" t="s">
        <v>37</v>
      </c>
      <c r="AW19" s="14">
        <v>160825.0</v>
      </c>
      <c r="AX19" s="15">
        <v>4.50332196486864</v>
      </c>
      <c r="AY19" s="15">
        <v>724.246755</v>
      </c>
      <c r="AZ19" s="26">
        <f t="shared" si="8"/>
        <v>0.01013764922</v>
      </c>
    </row>
    <row r="20">
      <c r="B20" s="20" t="s">
        <v>38</v>
      </c>
      <c r="C20" s="21">
        <v>80335.0</v>
      </c>
      <c r="D20" s="22">
        <v>7.36959188398581</v>
      </c>
      <c r="E20" s="23">
        <v>592.036164</v>
      </c>
      <c r="F20" s="24">
        <f t="shared" si="1"/>
        <v>0.008326572303</v>
      </c>
      <c r="G20" s="17"/>
      <c r="H20" s="4"/>
      <c r="I20" s="29"/>
      <c r="J20" s="20" t="s">
        <v>38</v>
      </c>
      <c r="K20" s="21">
        <v>80328.0</v>
      </c>
      <c r="L20" s="22">
        <v>7.38542219400458</v>
      </c>
      <c r="M20" s="23">
        <v>593.256194</v>
      </c>
      <c r="N20" s="26">
        <f t="shared" si="2"/>
        <v>0.008309812419</v>
      </c>
      <c r="O20" s="3"/>
      <c r="P20" s="20" t="s">
        <v>38</v>
      </c>
      <c r="Q20" s="14">
        <v>80259.0</v>
      </c>
      <c r="R20" s="15">
        <v>7.59472239873409</v>
      </c>
      <c r="S20" s="15">
        <v>609.544825</v>
      </c>
      <c r="T20" s="26">
        <f t="shared" si="3"/>
        <v>0.008558528861</v>
      </c>
      <c r="V20" s="20" t="s">
        <v>38</v>
      </c>
      <c r="W20" s="21">
        <v>80256.0</v>
      </c>
      <c r="X20" s="22">
        <v>7.45615532795055</v>
      </c>
      <c r="Y20" s="23">
        <v>598.401202</v>
      </c>
      <c r="Z20" s="24">
        <f t="shared" si="4"/>
        <v>0.008342202973</v>
      </c>
      <c r="AA20" s="17"/>
      <c r="AB20" s="4"/>
      <c r="AC20" s="29"/>
      <c r="AD20" s="20" t="s">
        <v>38</v>
      </c>
      <c r="AE20" s="21">
        <v>80332.0</v>
      </c>
      <c r="AF20" s="22">
        <v>7.25557747846437</v>
      </c>
      <c r="AG20" s="23">
        <v>582.85505</v>
      </c>
      <c r="AH20" s="26">
        <f t="shared" si="5"/>
        <v>0.008084896944</v>
      </c>
      <c r="AI20" s="3"/>
      <c r="AJ20" s="20" t="s">
        <v>39</v>
      </c>
      <c r="AK20" s="14">
        <v>76647.0</v>
      </c>
      <c r="AL20" s="15">
        <v>7.25833409004918</v>
      </c>
      <c r="AM20" s="15">
        <v>556.329533</v>
      </c>
      <c r="AN20" s="26">
        <f t="shared" si="6"/>
        <v>0.007742520445</v>
      </c>
      <c r="AP20" s="20" t="s">
        <v>39</v>
      </c>
      <c r="AQ20" s="21">
        <v>76640.0</v>
      </c>
      <c r="AR20" s="22">
        <v>7.30896582724425</v>
      </c>
      <c r="AS20" s="23">
        <v>560.159141</v>
      </c>
      <c r="AT20" s="26">
        <f t="shared" si="7"/>
        <v>0.007793314655</v>
      </c>
      <c r="AU20" s="3"/>
      <c r="AV20" s="20" t="s">
        <v>38</v>
      </c>
      <c r="AW20" s="14">
        <v>80336.0</v>
      </c>
      <c r="AX20" s="15">
        <v>7.35428410675164</v>
      </c>
      <c r="AY20" s="15">
        <v>590.813768</v>
      </c>
      <c r="AZ20" s="26">
        <f t="shared" si="8"/>
        <v>0.008269920011</v>
      </c>
    </row>
    <row r="21">
      <c r="B21" s="20" t="s">
        <v>40</v>
      </c>
      <c r="C21" s="21">
        <v>80336.0</v>
      </c>
      <c r="D21" s="22">
        <v>6.89989608643696</v>
      </c>
      <c r="E21" s="23">
        <v>554.310052</v>
      </c>
      <c r="F21" s="24">
        <f t="shared" si="1"/>
        <v>0.007795981068</v>
      </c>
      <c r="G21" s="17"/>
      <c r="H21" s="4"/>
      <c r="I21" s="29"/>
      <c r="J21" s="20" t="s">
        <v>40</v>
      </c>
      <c r="K21" s="21">
        <v>80332.0</v>
      </c>
      <c r="L21" s="22">
        <v>6.74986075287556</v>
      </c>
      <c r="M21" s="23">
        <v>542.229814</v>
      </c>
      <c r="N21" s="26">
        <f t="shared" si="2"/>
        <v>0.007595079644</v>
      </c>
      <c r="O21" s="3"/>
      <c r="P21" s="20" t="s">
        <v>39</v>
      </c>
      <c r="Q21" s="14">
        <v>76642.0</v>
      </c>
      <c r="R21" s="15">
        <v>7.26815974269982</v>
      </c>
      <c r="S21" s="15">
        <v>557.046299</v>
      </c>
      <c r="T21" s="26">
        <f t="shared" si="3"/>
        <v>0.007821404811</v>
      </c>
      <c r="V21" s="20" t="s">
        <v>40</v>
      </c>
      <c r="W21" s="21">
        <v>80254.0</v>
      </c>
      <c r="X21" s="22">
        <v>6.80521617614075</v>
      </c>
      <c r="Y21" s="23">
        <v>546.145819</v>
      </c>
      <c r="Z21" s="24">
        <f t="shared" si="4"/>
        <v>0.007613720126</v>
      </c>
      <c r="AA21" s="17"/>
      <c r="AB21" s="4"/>
      <c r="AC21" s="29"/>
      <c r="AD21" s="20" t="s">
        <v>40</v>
      </c>
      <c r="AE21" s="21">
        <v>80327.0</v>
      </c>
      <c r="AF21" s="22">
        <v>6.84323064473962</v>
      </c>
      <c r="AG21" s="23">
        <v>549.696188</v>
      </c>
      <c r="AH21" s="26">
        <f t="shared" si="5"/>
        <v>0.007624943853</v>
      </c>
      <c r="AI21" s="3"/>
      <c r="AJ21" s="20" t="s">
        <v>40</v>
      </c>
      <c r="AK21" s="14">
        <v>80410.0</v>
      </c>
      <c r="AL21" s="15">
        <v>6.90789202835468</v>
      </c>
      <c r="AM21" s="15">
        <v>555.463598</v>
      </c>
      <c r="AN21" s="26">
        <f t="shared" si="6"/>
        <v>0.007730469099</v>
      </c>
      <c r="AP21" s="20" t="s">
        <v>40</v>
      </c>
      <c r="AQ21" s="21">
        <v>80409.0</v>
      </c>
      <c r="AR21" s="22">
        <v>6.92446508475419</v>
      </c>
      <c r="AS21" s="23">
        <v>556.789313</v>
      </c>
      <c r="AT21" s="26">
        <f t="shared" si="7"/>
        <v>0.007746431318</v>
      </c>
      <c r="AU21" s="3"/>
      <c r="AV21" s="20" t="s">
        <v>40</v>
      </c>
      <c r="AW21" s="14">
        <v>80335.0</v>
      </c>
      <c r="AX21" s="15">
        <v>6.6703094043692</v>
      </c>
      <c r="AY21" s="15">
        <v>535.859306</v>
      </c>
      <c r="AZ21" s="26">
        <f t="shared" si="8"/>
        <v>0.00750069453</v>
      </c>
    </row>
    <row r="22">
      <c r="B22" s="20" t="s">
        <v>39</v>
      </c>
      <c r="C22" s="21">
        <v>76643.0</v>
      </c>
      <c r="D22" s="22">
        <v>6.89519740876531</v>
      </c>
      <c r="E22" s="23">
        <v>528.468615</v>
      </c>
      <c r="F22" s="24">
        <f t="shared" si="1"/>
        <v>0.00743253943</v>
      </c>
      <c r="G22" s="17"/>
      <c r="H22" s="4"/>
      <c r="I22" s="29"/>
      <c r="J22" s="20" t="s">
        <v>39</v>
      </c>
      <c r="K22" s="21">
        <v>76644.0</v>
      </c>
      <c r="L22" s="22">
        <v>6.50211869161317</v>
      </c>
      <c r="M22" s="23">
        <v>498.348385</v>
      </c>
      <c r="N22" s="26">
        <f t="shared" si="2"/>
        <v>0.006980427075</v>
      </c>
      <c r="O22" s="3"/>
      <c r="P22" s="20" t="s">
        <v>41</v>
      </c>
      <c r="Q22" s="14">
        <v>80413.0</v>
      </c>
      <c r="R22" s="15">
        <v>6.78902661261238</v>
      </c>
      <c r="S22" s="15">
        <v>545.925997</v>
      </c>
      <c r="T22" s="26">
        <f t="shared" si="3"/>
        <v>0.007665266293</v>
      </c>
      <c r="V22" s="20" t="s">
        <v>41</v>
      </c>
      <c r="W22" s="21">
        <v>80409.0</v>
      </c>
      <c r="X22" s="22">
        <v>6.72043052394632</v>
      </c>
      <c r="Y22" s="23">
        <v>540.383098</v>
      </c>
      <c r="Z22" s="24">
        <f t="shared" si="4"/>
        <v>0.007533383074</v>
      </c>
      <c r="AA22" s="17"/>
      <c r="AB22" s="4"/>
      <c r="AC22" s="29"/>
      <c r="AD22" s="20" t="s">
        <v>39</v>
      </c>
      <c r="AE22" s="21">
        <v>76642.0</v>
      </c>
      <c r="AF22" s="22">
        <v>6.77596927272252</v>
      </c>
      <c r="AG22" s="23">
        <v>519.323837</v>
      </c>
      <c r="AH22" s="26">
        <f t="shared" si="5"/>
        <v>0.007203643003</v>
      </c>
      <c r="AI22" s="3"/>
      <c r="AJ22" s="20" t="s">
        <v>42</v>
      </c>
      <c r="AK22" s="14">
        <v>102059.0</v>
      </c>
      <c r="AL22" s="15">
        <v>4.81967375733644</v>
      </c>
      <c r="AM22" s="15">
        <v>491.891084</v>
      </c>
      <c r="AN22" s="26">
        <f t="shared" si="6"/>
        <v>0.006845721014</v>
      </c>
      <c r="AP22" s="20" t="s">
        <v>42</v>
      </c>
      <c r="AQ22" s="21">
        <v>102056.0</v>
      </c>
      <c r="AR22" s="22">
        <v>4.78088699341538</v>
      </c>
      <c r="AS22" s="23">
        <v>487.918203</v>
      </c>
      <c r="AT22" s="26">
        <f t="shared" si="7"/>
        <v>0.006788249631</v>
      </c>
      <c r="AU22" s="3"/>
      <c r="AV22" s="20" t="s">
        <v>39</v>
      </c>
      <c r="AW22" s="14">
        <v>76639.0</v>
      </c>
      <c r="AX22" s="15">
        <v>6.86163493782538</v>
      </c>
      <c r="AY22" s="15">
        <v>525.86884</v>
      </c>
      <c r="AZ22" s="26">
        <f t="shared" si="8"/>
        <v>0.007360852909</v>
      </c>
    </row>
    <row r="23">
      <c r="B23" s="20" t="s">
        <v>42</v>
      </c>
      <c r="C23" s="21">
        <v>102060.0</v>
      </c>
      <c r="D23" s="22">
        <v>4.84549330785812</v>
      </c>
      <c r="E23" s="23">
        <v>494.531047</v>
      </c>
      <c r="F23" s="24">
        <f t="shared" si="1"/>
        <v>0.006955231402</v>
      </c>
      <c r="G23" s="17"/>
      <c r="H23" s="4"/>
      <c r="I23" s="29"/>
      <c r="J23" s="20" t="s">
        <v>42</v>
      </c>
      <c r="K23" s="21">
        <v>102060.0</v>
      </c>
      <c r="L23" s="22">
        <v>4.75947609249461</v>
      </c>
      <c r="M23" s="23">
        <v>485.75213</v>
      </c>
      <c r="N23" s="26">
        <f t="shared" si="2"/>
        <v>0.006803989783</v>
      </c>
      <c r="O23" s="3"/>
      <c r="P23" s="20" t="s">
        <v>40</v>
      </c>
      <c r="Q23" s="14">
        <v>80255.0</v>
      </c>
      <c r="R23" s="15">
        <v>6.54751274063921</v>
      </c>
      <c r="S23" s="15">
        <v>525.470635</v>
      </c>
      <c r="T23" s="26">
        <f t="shared" si="3"/>
        <v>0.007378055576</v>
      </c>
      <c r="V23" s="20" t="s">
        <v>39</v>
      </c>
      <c r="W23" s="21">
        <v>76644.0</v>
      </c>
      <c r="X23" s="22">
        <v>6.35212308856531</v>
      </c>
      <c r="Y23" s="23">
        <v>486.852122</v>
      </c>
      <c r="Z23" s="24">
        <f t="shared" si="4"/>
        <v>0.006787117415</v>
      </c>
      <c r="AA23" s="17"/>
      <c r="AB23" s="4"/>
      <c r="AC23" s="29"/>
      <c r="AD23" s="20" t="s">
        <v>42</v>
      </c>
      <c r="AE23" s="21">
        <v>102066.0</v>
      </c>
      <c r="AF23" s="22">
        <v>4.91505605196637</v>
      </c>
      <c r="AG23" s="23">
        <v>501.660111</v>
      </c>
      <c r="AH23" s="26">
        <f t="shared" si="5"/>
        <v>0.006958625989</v>
      </c>
      <c r="AI23" s="3"/>
      <c r="AJ23" s="20" t="s">
        <v>43</v>
      </c>
      <c r="AK23" s="14">
        <v>98109.0</v>
      </c>
      <c r="AL23" s="15">
        <v>4.64450055550459</v>
      </c>
      <c r="AM23" s="15">
        <v>455.667305</v>
      </c>
      <c r="AN23" s="26">
        <f t="shared" si="6"/>
        <v>0.00634158932</v>
      </c>
      <c r="AP23" s="20" t="s">
        <v>43</v>
      </c>
      <c r="AQ23" s="21">
        <v>98106.0</v>
      </c>
      <c r="AR23" s="22">
        <v>4.59557278861639</v>
      </c>
      <c r="AS23" s="23">
        <v>450.853264</v>
      </c>
      <c r="AT23" s="26">
        <f t="shared" si="7"/>
        <v>0.00627257701</v>
      </c>
      <c r="AU23" s="3"/>
      <c r="AV23" s="20" t="s">
        <v>41</v>
      </c>
      <c r="AW23" s="14">
        <v>80411.0</v>
      </c>
      <c r="AX23" s="15">
        <v>6.34406320030841</v>
      </c>
      <c r="AY23" s="15">
        <v>510.132466</v>
      </c>
      <c r="AZ23" s="26">
        <f t="shared" si="8"/>
        <v>0.0071405829</v>
      </c>
    </row>
    <row r="24">
      <c r="B24" s="20" t="s">
        <v>41</v>
      </c>
      <c r="C24" s="21">
        <v>80406.0</v>
      </c>
      <c r="D24" s="22">
        <v>6.13329906972116</v>
      </c>
      <c r="E24" s="23">
        <v>493.154045</v>
      </c>
      <c r="F24" s="24">
        <f t="shared" si="1"/>
        <v>0.006935864837</v>
      </c>
      <c r="G24" s="17"/>
      <c r="H24" s="4"/>
      <c r="I24" s="29"/>
      <c r="J24" s="20" t="s">
        <v>41</v>
      </c>
      <c r="K24" s="21">
        <v>80413.0</v>
      </c>
      <c r="L24" s="22">
        <v>5.76634407371942</v>
      </c>
      <c r="M24" s="23">
        <v>463.689026</v>
      </c>
      <c r="N24" s="26">
        <f t="shared" si="2"/>
        <v>0.006494949174</v>
      </c>
      <c r="O24" s="3"/>
      <c r="P24" s="20" t="s">
        <v>42</v>
      </c>
      <c r="Q24" s="14">
        <v>102059.0</v>
      </c>
      <c r="R24" s="15">
        <v>4.79011442400964</v>
      </c>
      <c r="S24" s="15">
        <v>488.874288</v>
      </c>
      <c r="T24" s="26">
        <f t="shared" si="3"/>
        <v>0.006864211673</v>
      </c>
      <c r="V24" s="20" t="s">
        <v>42</v>
      </c>
      <c r="W24" s="21">
        <v>102062.0</v>
      </c>
      <c r="X24" s="22">
        <v>4.72967458015716</v>
      </c>
      <c r="Y24" s="23">
        <v>482.720047</v>
      </c>
      <c r="Z24" s="24">
        <f t="shared" si="4"/>
        <v>0.006729512905</v>
      </c>
      <c r="AA24" s="17"/>
      <c r="AB24" s="4"/>
      <c r="AC24" s="29"/>
      <c r="AD24" s="20" t="s">
        <v>44</v>
      </c>
      <c r="AE24" s="21">
        <v>102063.0</v>
      </c>
      <c r="AF24" s="22">
        <v>4.53635021506324</v>
      </c>
      <c r="AG24" s="23">
        <v>462.993512</v>
      </c>
      <c r="AH24" s="26">
        <f t="shared" si="5"/>
        <v>0.006422273995</v>
      </c>
      <c r="AI24" s="3"/>
      <c r="AJ24" s="20" t="s">
        <v>44</v>
      </c>
      <c r="AK24" s="14">
        <v>102059.0</v>
      </c>
      <c r="AL24" s="15">
        <v>4.43350456108721</v>
      </c>
      <c r="AM24" s="15">
        <v>452.479042</v>
      </c>
      <c r="AN24" s="26">
        <f t="shared" si="6"/>
        <v>0.006297217792</v>
      </c>
      <c r="AP24" s="20" t="s">
        <v>44</v>
      </c>
      <c r="AQ24" s="21">
        <v>102057.0</v>
      </c>
      <c r="AR24" s="22">
        <v>4.3955330844528</v>
      </c>
      <c r="AS24" s="23">
        <v>448.59492</v>
      </c>
      <c r="AT24" s="26">
        <f t="shared" si="7"/>
        <v>0.006241157393</v>
      </c>
      <c r="AU24" s="3"/>
      <c r="AV24" s="20" t="s">
        <v>42</v>
      </c>
      <c r="AW24" s="14">
        <v>102063.0</v>
      </c>
      <c r="AX24" s="15">
        <v>4.81027722093217</v>
      </c>
      <c r="AY24" s="15">
        <v>490.951324</v>
      </c>
      <c r="AZ24" s="26">
        <f t="shared" si="8"/>
        <v>0.006872094725</v>
      </c>
    </row>
    <row r="25">
      <c r="B25" s="20" t="s">
        <v>43</v>
      </c>
      <c r="C25" s="21">
        <v>98105.0</v>
      </c>
      <c r="D25" s="22">
        <v>4.73903784720452</v>
      </c>
      <c r="E25" s="23">
        <v>464.923308</v>
      </c>
      <c r="F25" s="24">
        <f t="shared" si="1"/>
        <v>0.006538819374</v>
      </c>
      <c r="G25" s="17"/>
      <c r="H25" s="4"/>
      <c r="I25" s="29"/>
      <c r="J25" s="20" t="s">
        <v>43</v>
      </c>
      <c r="K25" s="21">
        <v>98108.0</v>
      </c>
      <c r="L25" s="22">
        <v>4.51408325518816</v>
      </c>
      <c r="M25" s="23">
        <v>442.86768</v>
      </c>
      <c r="N25" s="26">
        <f t="shared" si="2"/>
        <v>0.006203302021</v>
      </c>
      <c r="O25" s="3"/>
      <c r="P25" s="20" t="s">
        <v>45</v>
      </c>
      <c r="Q25" s="14">
        <v>472.0</v>
      </c>
      <c r="R25" s="15">
        <v>952.077288135593</v>
      </c>
      <c r="S25" s="15">
        <v>449.38048</v>
      </c>
      <c r="T25" s="26">
        <f t="shared" si="3"/>
        <v>0.006309684948</v>
      </c>
      <c r="V25" s="20" t="s">
        <v>46</v>
      </c>
      <c r="W25" s="21">
        <v>77313.0</v>
      </c>
      <c r="X25" s="22">
        <v>5.78377373792247</v>
      </c>
      <c r="Y25" s="23">
        <v>447.160899</v>
      </c>
      <c r="Z25" s="24">
        <f t="shared" si="4"/>
        <v>0.006233789251</v>
      </c>
      <c r="AA25" s="17"/>
      <c r="AB25" s="4"/>
      <c r="AC25" s="29"/>
      <c r="AD25" s="20" t="s">
        <v>41</v>
      </c>
      <c r="AE25" s="21">
        <v>80409.0</v>
      </c>
      <c r="AF25" s="22">
        <v>5.68198541208073</v>
      </c>
      <c r="AG25" s="23">
        <v>456.882765</v>
      </c>
      <c r="AH25" s="26">
        <f t="shared" si="5"/>
        <v>0.006337510622</v>
      </c>
      <c r="AI25" s="3"/>
      <c r="AJ25" s="20" t="s">
        <v>46</v>
      </c>
      <c r="AK25" s="14">
        <v>77322.0</v>
      </c>
      <c r="AL25" s="15">
        <v>5.72838351310105</v>
      </c>
      <c r="AM25" s="15">
        <v>442.93007</v>
      </c>
      <c r="AN25" s="26">
        <f t="shared" si="6"/>
        <v>0.006164323336</v>
      </c>
      <c r="AP25" s="20" t="s">
        <v>46</v>
      </c>
      <c r="AQ25" s="21">
        <v>77323.0</v>
      </c>
      <c r="AR25" s="22">
        <v>5.62097174191379</v>
      </c>
      <c r="AS25" s="23">
        <v>434.630398</v>
      </c>
      <c r="AT25" s="26">
        <f t="shared" si="7"/>
        <v>0.006046873473</v>
      </c>
      <c r="AU25" s="3"/>
      <c r="AV25" s="20" t="s">
        <v>44</v>
      </c>
      <c r="AW25" s="14">
        <v>102060.0</v>
      </c>
      <c r="AX25" s="15">
        <v>4.48272711150303</v>
      </c>
      <c r="AY25" s="15">
        <v>457.507129</v>
      </c>
      <c r="AZ25" s="26">
        <f t="shared" si="8"/>
        <v>0.006403959363</v>
      </c>
    </row>
    <row r="26">
      <c r="B26" s="20" t="s">
        <v>46</v>
      </c>
      <c r="C26" s="21">
        <v>77322.0</v>
      </c>
      <c r="D26" s="22">
        <v>5.7597746954295</v>
      </c>
      <c r="E26" s="23">
        <v>445.357299</v>
      </c>
      <c r="F26" s="24">
        <f t="shared" si="1"/>
        <v>0.006263637217</v>
      </c>
      <c r="G26" s="17"/>
      <c r="H26" s="4"/>
      <c r="I26" s="29"/>
      <c r="J26" s="20" t="s">
        <v>46</v>
      </c>
      <c r="K26" s="21">
        <v>77315.0</v>
      </c>
      <c r="L26" s="22">
        <v>5.68751535924464</v>
      </c>
      <c r="M26" s="23">
        <v>439.73025</v>
      </c>
      <c r="N26" s="26">
        <f t="shared" si="2"/>
        <v>0.006159355654</v>
      </c>
      <c r="O26" s="3"/>
      <c r="P26" s="20" t="s">
        <v>43</v>
      </c>
      <c r="Q26" s="14">
        <v>98106.0</v>
      </c>
      <c r="R26" s="15">
        <v>4.50998633111124</v>
      </c>
      <c r="S26" s="15">
        <v>442.456719</v>
      </c>
      <c r="T26" s="26">
        <f t="shared" si="3"/>
        <v>0.006212469442</v>
      </c>
      <c r="V26" s="20" t="s">
        <v>44</v>
      </c>
      <c r="W26" s="21">
        <v>102065.0</v>
      </c>
      <c r="X26" s="22">
        <v>4.33564615686082</v>
      </c>
      <c r="Y26" s="23">
        <v>442.517725</v>
      </c>
      <c r="Z26" s="24">
        <f t="shared" si="4"/>
        <v>0.006169059602</v>
      </c>
      <c r="AA26" s="17"/>
      <c r="AB26" s="4"/>
      <c r="AC26" s="29"/>
      <c r="AD26" s="20" t="s">
        <v>43</v>
      </c>
      <c r="AE26" s="21">
        <v>98100.0</v>
      </c>
      <c r="AF26" s="22">
        <v>4.64975779816513</v>
      </c>
      <c r="AG26" s="23">
        <v>456.14124</v>
      </c>
      <c r="AH26" s="26">
        <f t="shared" si="5"/>
        <v>0.006327224783</v>
      </c>
      <c r="AI26" s="3"/>
      <c r="AJ26" s="20" t="s">
        <v>47</v>
      </c>
      <c r="AK26" s="14">
        <v>80409.0</v>
      </c>
      <c r="AL26" s="15">
        <v>5.21640852392145</v>
      </c>
      <c r="AM26" s="15">
        <v>419.446193</v>
      </c>
      <c r="AN26" s="26">
        <f t="shared" si="6"/>
        <v>0.005837494744</v>
      </c>
      <c r="AP26" s="20" t="s">
        <v>47</v>
      </c>
      <c r="AQ26" s="21">
        <v>80411.0</v>
      </c>
      <c r="AR26" s="22">
        <v>5.34929818059718</v>
      </c>
      <c r="AS26" s="23">
        <v>430.142416</v>
      </c>
      <c r="AT26" s="26">
        <f t="shared" si="7"/>
        <v>0.005984433617</v>
      </c>
      <c r="AU26" s="3"/>
      <c r="AV26" s="20" t="s">
        <v>43</v>
      </c>
      <c r="AW26" s="14">
        <v>98103.0</v>
      </c>
      <c r="AX26" s="15">
        <v>4.56553222633354</v>
      </c>
      <c r="AY26" s="15">
        <v>447.892408</v>
      </c>
      <c r="AZ26" s="26">
        <f t="shared" si="8"/>
        <v>0.006269377236</v>
      </c>
    </row>
    <row r="27">
      <c r="B27" s="20" t="s">
        <v>44</v>
      </c>
      <c r="C27" s="21">
        <v>102059.0</v>
      </c>
      <c r="D27" s="22">
        <v>4.31336166335159</v>
      </c>
      <c r="E27" s="23">
        <v>440.217378</v>
      </c>
      <c r="F27" s="24">
        <f t="shared" si="1"/>
        <v>0.006191347843</v>
      </c>
      <c r="G27" s="17"/>
      <c r="H27" s="4"/>
      <c r="I27" s="29"/>
      <c r="J27" s="20" t="s">
        <v>44</v>
      </c>
      <c r="K27" s="21">
        <v>102062.0</v>
      </c>
      <c r="L27" s="22">
        <v>4.29117342399717</v>
      </c>
      <c r="M27" s="23">
        <v>437.965742</v>
      </c>
      <c r="N27" s="26">
        <f t="shared" si="2"/>
        <v>0.006134639973</v>
      </c>
      <c r="O27" s="3"/>
      <c r="P27" s="20" t="s">
        <v>44</v>
      </c>
      <c r="Q27" s="14">
        <v>102055.0</v>
      </c>
      <c r="R27" s="15">
        <v>4.31592580471314</v>
      </c>
      <c r="S27" s="15">
        <v>440.461808</v>
      </c>
      <c r="T27" s="26">
        <f t="shared" si="3"/>
        <v>0.006184459192</v>
      </c>
      <c r="V27" s="20" t="s">
        <v>43</v>
      </c>
      <c r="W27" s="21">
        <v>98110.0</v>
      </c>
      <c r="X27" s="22">
        <v>4.47135646723066</v>
      </c>
      <c r="Y27" s="23">
        <v>438.684783</v>
      </c>
      <c r="Z27" s="24">
        <f t="shared" si="4"/>
        <v>0.006115625251</v>
      </c>
      <c r="AA27" s="17"/>
      <c r="AB27" s="4"/>
      <c r="AC27" s="29"/>
      <c r="AD27" s="20" t="s">
        <v>46</v>
      </c>
      <c r="AE27" s="21">
        <v>77317.0</v>
      </c>
      <c r="AF27" s="22">
        <v>5.76079202503977</v>
      </c>
      <c r="AG27" s="23">
        <v>445.407157</v>
      </c>
      <c r="AH27" s="26">
        <f t="shared" si="5"/>
        <v>0.006178330209</v>
      </c>
      <c r="AI27" s="3"/>
      <c r="AJ27" s="20" t="s">
        <v>38</v>
      </c>
      <c r="AK27" s="14">
        <v>80406.0</v>
      </c>
      <c r="AL27" s="15">
        <v>4.80632809740566</v>
      </c>
      <c r="AM27" s="15">
        <v>386.457617</v>
      </c>
      <c r="AN27" s="26">
        <f t="shared" si="6"/>
        <v>0.00537838785</v>
      </c>
      <c r="AP27" s="20" t="s">
        <v>41</v>
      </c>
      <c r="AQ27" s="21">
        <v>80408.0</v>
      </c>
      <c r="AR27" s="22">
        <v>4.96368847627101</v>
      </c>
      <c r="AS27" s="23">
        <v>399.120263</v>
      </c>
      <c r="AT27" s="26">
        <f t="shared" si="7"/>
        <v>0.005552832342</v>
      </c>
      <c r="AU27" s="3"/>
      <c r="AV27" s="20" t="s">
        <v>48</v>
      </c>
      <c r="AW27" s="14">
        <v>80408.0</v>
      </c>
      <c r="AX27" s="15">
        <v>5.46975963834444</v>
      </c>
      <c r="AY27" s="15">
        <v>439.812433</v>
      </c>
      <c r="AZ27" s="26">
        <f t="shared" si="8"/>
        <v>0.006156277727</v>
      </c>
    </row>
    <row r="28">
      <c r="B28" s="20" t="s">
        <v>47</v>
      </c>
      <c r="C28" s="21">
        <v>80334.0</v>
      </c>
      <c r="D28" s="22">
        <v>5.39297505414892</v>
      </c>
      <c r="E28" s="23">
        <v>433.239258</v>
      </c>
      <c r="F28" s="24">
        <f t="shared" si="1"/>
        <v>0.006093205493</v>
      </c>
      <c r="G28" s="17"/>
      <c r="H28" s="4"/>
      <c r="I28" s="29"/>
      <c r="J28" s="20" t="s">
        <v>47</v>
      </c>
      <c r="K28" s="21">
        <v>80328.0</v>
      </c>
      <c r="L28" s="22">
        <v>5.35270381436112</v>
      </c>
      <c r="M28" s="23">
        <v>429.971992</v>
      </c>
      <c r="N28" s="26">
        <f t="shared" si="2"/>
        <v>0.006022670535</v>
      </c>
      <c r="O28" s="3"/>
      <c r="P28" s="20" t="s">
        <v>46</v>
      </c>
      <c r="Q28" s="14">
        <v>77317.0</v>
      </c>
      <c r="R28" s="15">
        <v>5.6710684584244</v>
      </c>
      <c r="S28" s="15">
        <v>438.47</v>
      </c>
      <c r="T28" s="26">
        <f t="shared" si="3"/>
        <v>0.00615649251</v>
      </c>
      <c r="V28" s="20" t="s">
        <v>45</v>
      </c>
      <c r="W28" s="21">
        <v>472.0</v>
      </c>
      <c r="X28" s="22">
        <v>928.715404661017</v>
      </c>
      <c r="Y28" s="23">
        <v>438.353671</v>
      </c>
      <c r="Z28" s="24">
        <f t="shared" si="4"/>
        <v>0.006111009278</v>
      </c>
      <c r="AA28" s="17"/>
      <c r="AB28" s="4"/>
      <c r="AC28" s="29"/>
      <c r="AD28" s="20" t="s">
        <v>47</v>
      </c>
      <c r="AE28" s="21">
        <v>80334.0</v>
      </c>
      <c r="AF28" s="22">
        <v>5.22222374088181</v>
      </c>
      <c r="AG28" s="23">
        <v>419.522122</v>
      </c>
      <c r="AH28" s="26">
        <f t="shared" si="5"/>
        <v>0.005819273801</v>
      </c>
      <c r="AI28" s="3"/>
      <c r="AJ28" s="20" t="s">
        <v>41</v>
      </c>
      <c r="AK28" s="14">
        <v>80411.0</v>
      </c>
      <c r="AL28" s="15">
        <v>4.80127514892241</v>
      </c>
      <c r="AM28" s="15">
        <v>386.075336</v>
      </c>
      <c r="AN28" s="26">
        <f t="shared" si="6"/>
        <v>0.005373067588</v>
      </c>
      <c r="AP28" s="20" t="s">
        <v>49</v>
      </c>
      <c r="AQ28" s="21">
        <v>80414.0</v>
      </c>
      <c r="AR28" s="22">
        <v>4.74034258959882</v>
      </c>
      <c r="AS28" s="23">
        <v>381.189909</v>
      </c>
      <c r="AT28" s="26">
        <f t="shared" si="7"/>
        <v>0.005303373072</v>
      </c>
      <c r="AU28" s="3"/>
      <c r="AV28" s="20" t="s">
        <v>46</v>
      </c>
      <c r="AW28" s="14">
        <v>77319.0</v>
      </c>
      <c r="AX28" s="15">
        <v>5.59478415395957</v>
      </c>
      <c r="AY28" s="15">
        <v>432.583116</v>
      </c>
      <c r="AZ28" s="26">
        <f t="shared" si="8"/>
        <v>0.00605508531</v>
      </c>
    </row>
    <row r="29">
      <c r="B29" s="20" t="s">
        <v>50</v>
      </c>
      <c r="C29" s="21">
        <v>83501.0</v>
      </c>
      <c r="D29" s="22">
        <v>4.91412113627381</v>
      </c>
      <c r="E29" s="23">
        <v>410.334029</v>
      </c>
      <c r="F29" s="24">
        <f t="shared" si="1"/>
        <v>0.005771059555</v>
      </c>
      <c r="G29" s="17"/>
      <c r="H29" s="4"/>
      <c r="I29" s="29"/>
      <c r="J29" s="20" t="s">
        <v>51</v>
      </c>
      <c r="K29" s="21">
        <v>1024.0</v>
      </c>
      <c r="L29" s="22">
        <v>392.495467773437</v>
      </c>
      <c r="M29" s="23">
        <v>401.915359</v>
      </c>
      <c r="N29" s="26">
        <f t="shared" si="2"/>
        <v>0.005629677828</v>
      </c>
      <c r="O29" s="3"/>
      <c r="P29" s="20" t="s">
        <v>47</v>
      </c>
      <c r="Q29" s="14">
        <v>80253.0</v>
      </c>
      <c r="R29" s="15">
        <v>5.35972261473091</v>
      </c>
      <c r="S29" s="15">
        <v>430.133819</v>
      </c>
      <c r="T29" s="26">
        <f t="shared" si="3"/>
        <v>0.006039445424</v>
      </c>
      <c r="V29" s="20" t="s">
        <v>47</v>
      </c>
      <c r="W29" s="21">
        <v>80258.0</v>
      </c>
      <c r="X29" s="22">
        <v>5.28761221311271</v>
      </c>
      <c r="Y29" s="23">
        <v>424.373181</v>
      </c>
      <c r="Z29" s="24">
        <f t="shared" si="4"/>
        <v>0.005916109794</v>
      </c>
      <c r="AA29" s="17"/>
      <c r="AB29" s="4"/>
      <c r="AC29" s="29"/>
      <c r="AD29" s="20" t="s">
        <v>51</v>
      </c>
      <c r="AE29" s="21">
        <v>1024.0</v>
      </c>
      <c r="AF29" s="22">
        <v>393.239732421875</v>
      </c>
      <c r="AG29" s="23">
        <v>402.677486</v>
      </c>
      <c r="AH29" s="26">
        <f t="shared" si="5"/>
        <v>0.005585618545</v>
      </c>
      <c r="AI29" s="3"/>
      <c r="AJ29" s="20" t="s">
        <v>49</v>
      </c>
      <c r="AK29" s="14">
        <v>80414.0</v>
      </c>
      <c r="AL29" s="15">
        <v>4.7591136120576</v>
      </c>
      <c r="AM29" s="15">
        <v>382.699362</v>
      </c>
      <c r="AN29" s="26">
        <f t="shared" si="6"/>
        <v>0.005326083659</v>
      </c>
      <c r="AP29" s="20" t="s">
        <v>38</v>
      </c>
      <c r="AQ29" s="21">
        <v>80410.0</v>
      </c>
      <c r="AR29" s="22">
        <v>4.72278416863574</v>
      </c>
      <c r="AS29" s="23">
        <v>379.759075</v>
      </c>
      <c r="AT29" s="26">
        <f t="shared" si="7"/>
        <v>0.005283466337</v>
      </c>
      <c r="AU29" s="3"/>
      <c r="AV29" s="20" t="s">
        <v>52</v>
      </c>
      <c r="AW29" s="14">
        <v>235.0</v>
      </c>
      <c r="AX29" s="15">
        <v>1828.38424255319</v>
      </c>
      <c r="AY29" s="15">
        <v>429.670297</v>
      </c>
      <c r="AZ29" s="26">
        <f t="shared" si="8"/>
        <v>0.006014313105</v>
      </c>
    </row>
    <row r="30">
      <c r="B30" s="20" t="s">
        <v>51</v>
      </c>
      <c r="C30" s="21">
        <v>1024.0</v>
      </c>
      <c r="D30" s="22">
        <v>392.83364453125</v>
      </c>
      <c r="E30" s="23">
        <v>402.261652</v>
      </c>
      <c r="F30" s="24">
        <f t="shared" si="1"/>
        <v>0.005657527249</v>
      </c>
      <c r="G30" s="17"/>
      <c r="H30" s="4"/>
      <c r="I30" s="29"/>
      <c r="J30" s="20" t="s">
        <v>50</v>
      </c>
      <c r="K30" s="21">
        <v>83505.0</v>
      </c>
      <c r="L30" s="22">
        <v>4.45134405125441</v>
      </c>
      <c r="M30" s="23">
        <v>371.709485</v>
      </c>
      <c r="N30" s="26">
        <f t="shared" si="2"/>
        <v>0.005206580439</v>
      </c>
      <c r="O30" s="3"/>
      <c r="P30" s="20" t="s">
        <v>53</v>
      </c>
      <c r="Q30" s="14">
        <v>1023.0</v>
      </c>
      <c r="R30" s="15">
        <v>404.162523949169</v>
      </c>
      <c r="S30" s="15">
        <v>413.458262</v>
      </c>
      <c r="T30" s="26">
        <f t="shared" si="3"/>
        <v>0.005805306391</v>
      </c>
      <c r="V30" s="20" t="s">
        <v>53</v>
      </c>
      <c r="W30" s="21">
        <v>1023.0</v>
      </c>
      <c r="X30" s="22">
        <v>400.013217986314</v>
      </c>
      <c r="Y30" s="23">
        <v>409.213522</v>
      </c>
      <c r="Z30" s="24">
        <f t="shared" si="4"/>
        <v>0.005704771729</v>
      </c>
      <c r="AA30" s="17"/>
      <c r="AB30" s="4"/>
      <c r="AC30" s="29"/>
      <c r="AD30" s="20" t="s">
        <v>50</v>
      </c>
      <c r="AE30" s="21">
        <v>83502.0</v>
      </c>
      <c r="AF30" s="22">
        <v>4.73222234197983</v>
      </c>
      <c r="AG30" s="23">
        <v>395.15003</v>
      </c>
      <c r="AH30" s="26">
        <f t="shared" si="5"/>
        <v>0.005481203723</v>
      </c>
      <c r="AI30" s="3"/>
      <c r="AJ30" s="20" t="s">
        <v>54</v>
      </c>
      <c r="AK30" s="14">
        <v>80406.0</v>
      </c>
      <c r="AL30" s="15">
        <v>4.73184646668159</v>
      </c>
      <c r="AM30" s="15">
        <v>380.468847</v>
      </c>
      <c r="AN30" s="26">
        <f t="shared" si="6"/>
        <v>0.005295041251</v>
      </c>
      <c r="AP30" s="20" t="s">
        <v>54</v>
      </c>
      <c r="AQ30" s="21">
        <v>80413.0</v>
      </c>
      <c r="AR30" s="22">
        <v>4.66861231392934</v>
      </c>
      <c r="AS30" s="23">
        <v>375.417122</v>
      </c>
      <c r="AT30" s="26">
        <f t="shared" si="7"/>
        <v>0.005223058136</v>
      </c>
      <c r="AU30" s="3"/>
      <c r="AV30" s="20" t="s">
        <v>47</v>
      </c>
      <c r="AW30" s="14">
        <v>80326.0</v>
      </c>
      <c r="AX30" s="15">
        <v>5.33102020516395</v>
      </c>
      <c r="AY30" s="15">
        <v>428.219529</v>
      </c>
      <c r="AZ30" s="26">
        <f t="shared" si="8"/>
        <v>0.005994005969</v>
      </c>
    </row>
    <row r="31">
      <c r="B31" s="20" t="s">
        <v>45</v>
      </c>
      <c r="C31" s="21">
        <v>237.0</v>
      </c>
      <c r="D31" s="22">
        <v>1627.16981434599</v>
      </c>
      <c r="E31" s="23">
        <v>385.639246</v>
      </c>
      <c r="F31" s="24">
        <f t="shared" si="1"/>
        <v>0.005423744798</v>
      </c>
      <c r="G31" s="17"/>
      <c r="H31" s="4"/>
      <c r="I31" s="29"/>
      <c r="J31" s="20" t="s">
        <v>54</v>
      </c>
      <c r="K31" s="21">
        <v>80332.0</v>
      </c>
      <c r="L31" s="22">
        <v>4.6047217173729</v>
      </c>
      <c r="M31" s="23">
        <v>369.906505</v>
      </c>
      <c r="N31" s="26">
        <f t="shared" si="2"/>
        <v>0.005181325876</v>
      </c>
      <c r="O31" s="3"/>
      <c r="P31" s="20" t="s">
        <v>50</v>
      </c>
      <c r="Q31" s="14">
        <v>83503.0</v>
      </c>
      <c r="R31" s="15">
        <v>4.81093279283379</v>
      </c>
      <c r="S31" s="15">
        <v>401.727321</v>
      </c>
      <c r="T31" s="26">
        <f t="shared" si="3"/>
        <v>0.005640593981</v>
      </c>
      <c r="V31" s="20" t="s">
        <v>50</v>
      </c>
      <c r="W31" s="21">
        <v>83504.0</v>
      </c>
      <c r="X31" s="22">
        <v>4.69118593121287</v>
      </c>
      <c r="Y31" s="23">
        <v>391.73279</v>
      </c>
      <c r="Z31" s="24">
        <f t="shared" si="4"/>
        <v>0.005461076005</v>
      </c>
      <c r="AA31" s="17"/>
      <c r="AB31" s="4"/>
      <c r="AC31" s="29"/>
      <c r="AD31" s="20" t="s">
        <v>49</v>
      </c>
      <c r="AE31" s="21">
        <v>80413.0</v>
      </c>
      <c r="AF31" s="22">
        <v>4.89263523310907</v>
      </c>
      <c r="AG31" s="23">
        <v>393.431477</v>
      </c>
      <c r="AH31" s="26">
        <f t="shared" si="5"/>
        <v>0.005457365337</v>
      </c>
      <c r="AI31" s="3"/>
      <c r="AJ31" s="20" t="s">
        <v>55</v>
      </c>
      <c r="AK31" s="14">
        <v>77323.0</v>
      </c>
      <c r="AL31" s="15">
        <v>4.83781582452827</v>
      </c>
      <c r="AM31" s="15">
        <v>374.074433</v>
      </c>
      <c r="AN31" s="26">
        <f t="shared" si="6"/>
        <v>0.005206049245</v>
      </c>
      <c r="AP31" s="20" t="s">
        <v>55</v>
      </c>
      <c r="AQ31" s="21">
        <v>77319.0</v>
      </c>
      <c r="AR31" s="22">
        <v>4.78743819759696</v>
      </c>
      <c r="AS31" s="23">
        <v>370.159934</v>
      </c>
      <c r="AT31" s="26">
        <f t="shared" si="7"/>
        <v>0.005149916564</v>
      </c>
      <c r="AU31" s="3"/>
      <c r="AV31" s="20" t="s">
        <v>50</v>
      </c>
      <c r="AW31" s="14">
        <v>83500.0</v>
      </c>
      <c r="AX31" s="15">
        <v>4.96756158083832</v>
      </c>
      <c r="AY31" s="15">
        <v>414.791392</v>
      </c>
      <c r="AZ31" s="26">
        <f t="shared" si="8"/>
        <v>0.005806045524</v>
      </c>
    </row>
    <row r="32">
      <c r="B32" s="20" t="s">
        <v>48</v>
      </c>
      <c r="C32" s="21">
        <v>80407.0</v>
      </c>
      <c r="D32" s="22">
        <v>4.73440508910915</v>
      </c>
      <c r="E32" s="23">
        <v>380.67931</v>
      </c>
      <c r="F32" s="24">
        <f t="shared" si="1"/>
        <v>0.005353986786</v>
      </c>
      <c r="G32" s="17"/>
      <c r="H32" s="4"/>
      <c r="I32" s="29"/>
      <c r="J32" s="20" t="s">
        <v>48</v>
      </c>
      <c r="K32" s="21">
        <v>80411.0</v>
      </c>
      <c r="L32" s="22">
        <v>4.59854074691273</v>
      </c>
      <c r="M32" s="23">
        <v>369.77326</v>
      </c>
      <c r="N32" s="26">
        <f t="shared" si="2"/>
        <v>0.005179459497</v>
      </c>
      <c r="O32" s="3"/>
      <c r="P32" s="20" t="s">
        <v>48</v>
      </c>
      <c r="Q32" s="14">
        <v>80409.0</v>
      </c>
      <c r="R32" s="15">
        <v>4.95429342486537</v>
      </c>
      <c r="S32" s="15">
        <v>398.36978</v>
      </c>
      <c r="T32" s="26">
        <f t="shared" si="3"/>
        <v>0.005593451243</v>
      </c>
      <c r="V32" s="20" t="s">
        <v>48</v>
      </c>
      <c r="W32" s="21">
        <v>80408.0</v>
      </c>
      <c r="X32" s="22">
        <v>4.80734615958611</v>
      </c>
      <c r="Y32" s="23">
        <v>386.54909</v>
      </c>
      <c r="Z32" s="24">
        <f t="shared" si="4"/>
        <v>0.00538881098</v>
      </c>
      <c r="AA32" s="17"/>
      <c r="AB32" s="4"/>
      <c r="AC32" s="29"/>
      <c r="AD32" s="20" t="s">
        <v>54</v>
      </c>
      <c r="AE32" s="21">
        <v>80331.0</v>
      </c>
      <c r="AF32" s="22">
        <v>4.70418127497479</v>
      </c>
      <c r="AG32" s="23">
        <v>377.891586</v>
      </c>
      <c r="AH32" s="26">
        <f t="shared" si="5"/>
        <v>0.005241808455</v>
      </c>
      <c r="AI32" s="3"/>
      <c r="AJ32" s="20" t="s">
        <v>56</v>
      </c>
      <c r="AK32" s="14">
        <v>78128.0</v>
      </c>
      <c r="AL32" s="15">
        <v>4.76890365809952</v>
      </c>
      <c r="AM32" s="15">
        <v>372.584905</v>
      </c>
      <c r="AN32" s="26">
        <f t="shared" si="6"/>
        <v>0.005185319264</v>
      </c>
      <c r="AP32" s="20" t="s">
        <v>50</v>
      </c>
      <c r="AQ32" s="21">
        <v>83497.0</v>
      </c>
      <c r="AR32" s="22">
        <v>4.41417503622884</v>
      </c>
      <c r="AS32" s="23">
        <v>368.570373</v>
      </c>
      <c r="AT32" s="26">
        <f t="shared" si="7"/>
        <v>0.005127801511</v>
      </c>
      <c r="AU32" s="3"/>
      <c r="AV32" s="20" t="s">
        <v>51</v>
      </c>
      <c r="AW32" s="14">
        <v>1024.0</v>
      </c>
      <c r="AX32" s="15">
        <v>392.521668945312</v>
      </c>
      <c r="AY32" s="15">
        <v>401.942189</v>
      </c>
      <c r="AZ32" s="26">
        <f t="shared" si="8"/>
        <v>0.005626188711</v>
      </c>
    </row>
    <row r="33">
      <c r="B33" s="20" t="s">
        <v>49</v>
      </c>
      <c r="C33" s="21">
        <v>80409.0</v>
      </c>
      <c r="D33" s="22">
        <v>4.56641975400763</v>
      </c>
      <c r="E33" s="23">
        <v>367.181246</v>
      </c>
      <c r="F33" s="24">
        <f t="shared" si="1"/>
        <v>0.005164146008</v>
      </c>
      <c r="G33" s="17"/>
      <c r="H33" s="4"/>
      <c r="I33" s="29"/>
      <c r="J33" s="20" t="s">
        <v>49</v>
      </c>
      <c r="K33" s="21">
        <v>80408.0</v>
      </c>
      <c r="L33" s="22">
        <v>4.55351927668888</v>
      </c>
      <c r="M33" s="23">
        <v>366.139378</v>
      </c>
      <c r="N33" s="26">
        <f t="shared" si="2"/>
        <v>0.005128559265</v>
      </c>
      <c r="O33" s="3"/>
      <c r="P33" s="20" t="s">
        <v>55</v>
      </c>
      <c r="Q33" s="14">
        <v>77321.0</v>
      </c>
      <c r="R33" s="15">
        <v>4.88602154653975</v>
      </c>
      <c r="S33" s="15">
        <v>377.792072</v>
      </c>
      <c r="T33" s="26">
        <f t="shared" si="3"/>
        <v>0.005304522685</v>
      </c>
      <c r="V33" s="20" t="s">
        <v>49</v>
      </c>
      <c r="W33" s="21">
        <v>80408.0</v>
      </c>
      <c r="X33" s="22">
        <v>4.66716781912247</v>
      </c>
      <c r="Y33" s="23">
        <v>375.27763</v>
      </c>
      <c r="Z33" s="24">
        <f t="shared" si="4"/>
        <v>0.005231677594</v>
      </c>
      <c r="AA33" s="17"/>
      <c r="AB33" s="4"/>
      <c r="AC33" s="29"/>
      <c r="AD33" s="20" t="s">
        <v>57</v>
      </c>
      <c r="AE33" s="21">
        <v>80411.0</v>
      </c>
      <c r="AF33" s="22">
        <v>4.69334979045155</v>
      </c>
      <c r="AG33" s="23">
        <v>377.39695</v>
      </c>
      <c r="AH33" s="26">
        <f t="shared" si="5"/>
        <v>0.005234947262</v>
      </c>
      <c r="AI33" s="3"/>
      <c r="AJ33" s="20" t="s">
        <v>50</v>
      </c>
      <c r="AK33" s="14">
        <v>83496.0</v>
      </c>
      <c r="AL33" s="15">
        <v>4.42147517246335</v>
      </c>
      <c r="AM33" s="15">
        <v>369.175491</v>
      </c>
      <c r="AN33" s="26">
        <f t="shared" si="6"/>
        <v>0.005137869944</v>
      </c>
      <c r="AP33" s="20" t="s">
        <v>56</v>
      </c>
      <c r="AQ33" s="21">
        <v>78121.0</v>
      </c>
      <c r="AR33" s="22">
        <v>4.70431082551426</v>
      </c>
      <c r="AS33" s="23">
        <v>367.505466</v>
      </c>
      <c r="AT33" s="26">
        <f t="shared" si="7"/>
        <v>0.005112985801</v>
      </c>
      <c r="AU33" s="3"/>
      <c r="AV33" s="20" t="s">
        <v>49</v>
      </c>
      <c r="AW33" s="14">
        <v>80415.0</v>
      </c>
      <c r="AX33" s="15">
        <v>4.77577470621152</v>
      </c>
      <c r="AY33" s="15">
        <v>384.043923</v>
      </c>
      <c r="AZ33" s="26">
        <f t="shared" si="8"/>
        <v>0.005375657603</v>
      </c>
    </row>
    <row r="34">
      <c r="B34" s="20" t="s">
        <v>54</v>
      </c>
      <c r="C34" s="21">
        <v>80331.0</v>
      </c>
      <c r="D34" s="22">
        <v>4.56842683397443</v>
      </c>
      <c r="E34" s="23">
        <v>366.986296</v>
      </c>
      <c r="F34" s="24">
        <f t="shared" si="1"/>
        <v>0.005161404174</v>
      </c>
      <c r="G34" s="17"/>
      <c r="H34" s="4"/>
      <c r="I34" s="29"/>
      <c r="J34" s="20" t="s">
        <v>55</v>
      </c>
      <c r="K34" s="21">
        <v>77320.0</v>
      </c>
      <c r="L34" s="22">
        <v>4.67613137609932</v>
      </c>
      <c r="M34" s="23">
        <v>361.558478</v>
      </c>
      <c r="N34" s="26">
        <f t="shared" si="2"/>
        <v>0.005064394036</v>
      </c>
      <c r="O34" s="3"/>
      <c r="P34" s="20" t="s">
        <v>49</v>
      </c>
      <c r="Q34" s="14">
        <v>80406.0</v>
      </c>
      <c r="R34" s="15">
        <v>4.6888945974181</v>
      </c>
      <c r="S34" s="15">
        <v>377.015259</v>
      </c>
      <c r="T34" s="26">
        <f t="shared" si="3"/>
        <v>0.005293615568</v>
      </c>
      <c r="V34" s="20" t="s">
        <v>55</v>
      </c>
      <c r="W34" s="21">
        <v>77319.0</v>
      </c>
      <c r="X34" s="22">
        <v>4.80281796194984</v>
      </c>
      <c r="Y34" s="23">
        <v>371.349082</v>
      </c>
      <c r="Z34" s="24">
        <f t="shared" si="4"/>
        <v>0.005176910416</v>
      </c>
      <c r="AA34" s="17"/>
      <c r="AB34" s="4"/>
      <c r="AC34" s="29"/>
      <c r="AD34" s="20" t="s">
        <v>56</v>
      </c>
      <c r="AE34" s="21">
        <v>78120.0</v>
      </c>
      <c r="AF34" s="22">
        <v>4.82747311827957</v>
      </c>
      <c r="AG34" s="23">
        <v>377.1222</v>
      </c>
      <c r="AH34" s="26">
        <f t="shared" si="5"/>
        <v>0.00523113615</v>
      </c>
      <c r="AI34" s="3"/>
      <c r="AJ34" s="20" t="s">
        <v>57</v>
      </c>
      <c r="AK34" s="14">
        <v>80412.0</v>
      </c>
      <c r="AL34" s="15">
        <v>4.57846504253096</v>
      </c>
      <c r="AM34" s="15">
        <v>368.163531</v>
      </c>
      <c r="AN34" s="26">
        <f t="shared" si="6"/>
        <v>0.005123786347</v>
      </c>
      <c r="AP34" s="20" t="s">
        <v>57</v>
      </c>
      <c r="AQ34" s="21">
        <v>80414.0</v>
      </c>
      <c r="AR34" s="22">
        <v>4.49879116820454</v>
      </c>
      <c r="AS34" s="23">
        <v>361.765793</v>
      </c>
      <c r="AT34" s="26">
        <f t="shared" si="7"/>
        <v>0.005033131569</v>
      </c>
      <c r="AU34" s="3"/>
      <c r="AV34" s="20" t="s">
        <v>54</v>
      </c>
      <c r="AW34" s="14">
        <v>80334.0</v>
      </c>
      <c r="AX34" s="15">
        <v>4.66906675878208</v>
      </c>
      <c r="AY34" s="15">
        <v>375.084809</v>
      </c>
      <c r="AZ34" s="26">
        <f t="shared" si="8"/>
        <v>0.00525025234</v>
      </c>
    </row>
    <row r="35">
      <c r="B35" s="20" t="s">
        <v>57</v>
      </c>
      <c r="C35" s="21">
        <v>80414.0</v>
      </c>
      <c r="D35" s="22">
        <v>4.52802627651901</v>
      </c>
      <c r="E35" s="23">
        <v>364.116705</v>
      </c>
      <c r="F35" s="24">
        <f t="shared" si="1"/>
        <v>0.005121045394</v>
      </c>
      <c r="G35" s="17"/>
      <c r="H35" s="4"/>
      <c r="I35" s="29"/>
      <c r="J35" s="20" t="s">
        <v>57</v>
      </c>
      <c r="K35" s="21">
        <v>80405.0</v>
      </c>
      <c r="L35" s="22">
        <v>4.47667070455817</v>
      </c>
      <c r="M35" s="23">
        <v>359.946708</v>
      </c>
      <c r="N35" s="26">
        <f t="shared" si="2"/>
        <v>0.005041817776</v>
      </c>
      <c r="O35" s="3"/>
      <c r="P35" s="20" t="s">
        <v>56</v>
      </c>
      <c r="Q35" s="14">
        <v>78119.0</v>
      </c>
      <c r="R35" s="15">
        <v>4.80927527234091</v>
      </c>
      <c r="S35" s="15">
        <v>375.695775</v>
      </c>
      <c r="T35" s="26">
        <f t="shared" si="3"/>
        <v>0.005275088888</v>
      </c>
      <c r="V35" s="20" t="s">
        <v>54</v>
      </c>
      <c r="W35" s="21">
        <v>80252.0</v>
      </c>
      <c r="X35" s="22">
        <v>4.47787404675272</v>
      </c>
      <c r="Y35" s="23">
        <v>359.358348</v>
      </c>
      <c r="Z35" s="24">
        <f t="shared" si="4"/>
        <v>0.005009749762</v>
      </c>
      <c r="AA35" s="17"/>
      <c r="AB35" s="4"/>
      <c r="AC35" s="29"/>
      <c r="AD35" s="20" t="s">
        <v>55</v>
      </c>
      <c r="AE35" s="21">
        <v>77321.0</v>
      </c>
      <c r="AF35" s="22">
        <v>4.87177223522716</v>
      </c>
      <c r="AG35" s="23">
        <v>376.690301</v>
      </c>
      <c r="AH35" s="26">
        <f t="shared" si="5"/>
        <v>0.005225145194</v>
      </c>
      <c r="AI35" s="3"/>
      <c r="AJ35" s="20" t="s">
        <v>58</v>
      </c>
      <c r="AK35" s="14">
        <v>80408.0</v>
      </c>
      <c r="AL35" s="15">
        <v>4.44936757536563</v>
      </c>
      <c r="AM35" s="15">
        <v>357.764748</v>
      </c>
      <c r="AN35" s="26">
        <f t="shared" si="6"/>
        <v>0.004979064945</v>
      </c>
      <c r="AP35" s="20" t="s">
        <v>58</v>
      </c>
      <c r="AQ35" s="21">
        <v>80414.0</v>
      </c>
      <c r="AR35" s="22">
        <v>4.46038627602158</v>
      </c>
      <c r="AS35" s="23">
        <v>358.677502</v>
      </c>
      <c r="AT35" s="26">
        <f t="shared" si="7"/>
        <v>0.004990165166</v>
      </c>
      <c r="AU35" s="3"/>
      <c r="AV35" s="20" t="s">
        <v>55</v>
      </c>
      <c r="AW35" s="14">
        <v>77318.0</v>
      </c>
      <c r="AX35" s="15">
        <v>4.80717353009648</v>
      </c>
      <c r="AY35" s="15">
        <v>371.681043</v>
      </c>
      <c r="AZ35" s="26">
        <f t="shared" si="8"/>
        <v>0.0052026081</v>
      </c>
    </row>
    <row r="36">
      <c r="B36" s="20" t="s">
        <v>55</v>
      </c>
      <c r="C36" s="21">
        <v>77321.0</v>
      </c>
      <c r="D36" s="22">
        <v>4.69486875493074</v>
      </c>
      <c r="E36" s="23">
        <v>363.011947</v>
      </c>
      <c r="F36" s="24">
        <f t="shared" si="1"/>
        <v>0.00510550775</v>
      </c>
      <c r="G36" s="17"/>
      <c r="H36" s="4"/>
      <c r="I36" s="29"/>
      <c r="J36" s="20" t="s">
        <v>56</v>
      </c>
      <c r="K36" s="21">
        <v>78123.0</v>
      </c>
      <c r="L36" s="22">
        <v>4.60652912714565</v>
      </c>
      <c r="M36" s="23">
        <v>359.875875</v>
      </c>
      <c r="N36" s="26">
        <f t="shared" si="2"/>
        <v>0.005040825609</v>
      </c>
      <c r="O36" s="3"/>
      <c r="P36" s="20" t="s">
        <v>54</v>
      </c>
      <c r="Q36" s="14">
        <v>80257.0</v>
      </c>
      <c r="R36" s="15">
        <v>4.59925334861756</v>
      </c>
      <c r="S36" s="15">
        <v>369.122276</v>
      </c>
      <c r="T36" s="26">
        <f t="shared" si="3"/>
        <v>0.005182791359</v>
      </c>
      <c r="V36" s="20" t="s">
        <v>56</v>
      </c>
      <c r="W36" s="21">
        <v>78117.0</v>
      </c>
      <c r="X36" s="22">
        <v>4.57672297963311</v>
      </c>
      <c r="Y36" s="23">
        <v>357.519869</v>
      </c>
      <c r="Z36" s="24">
        <f t="shared" si="4"/>
        <v>0.004984119858</v>
      </c>
      <c r="AA36" s="17"/>
      <c r="AB36" s="4"/>
      <c r="AC36" s="29"/>
      <c r="AD36" s="20" t="s">
        <v>48</v>
      </c>
      <c r="AE36" s="21">
        <v>80407.0</v>
      </c>
      <c r="AF36" s="22">
        <v>4.67612768788787</v>
      </c>
      <c r="AG36" s="23">
        <v>375.993399</v>
      </c>
      <c r="AH36" s="26">
        <f t="shared" si="5"/>
        <v>0.00521547833</v>
      </c>
      <c r="AI36" s="3"/>
      <c r="AJ36" s="20" t="s">
        <v>48</v>
      </c>
      <c r="AK36" s="14">
        <v>80409.0</v>
      </c>
      <c r="AL36" s="15">
        <v>4.41567121839595</v>
      </c>
      <c r="AM36" s="15">
        <v>355.059707</v>
      </c>
      <c r="AN36" s="26">
        <f t="shared" si="6"/>
        <v>0.004941418489</v>
      </c>
      <c r="AP36" s="20" t="s">
        <v>48</v>
      </c>
      <c r="AQ36" s="21">
        <v>80412.0</v>
      </c>
      <c r="AR36" s="22">
        <v>4.33188204496841</v>
      </c>
      <c r="AS36" s="23">
        <v>348.335299</v>
      </c>
      <c r="AT36" s="26">
        <f t="shared" si="7"/>
        <v>0.004846277409</v>
      </c>
      <c r="AU36" s="3"/>
      <c r="AV36" s="20" t="s">
        <v>56</v>
      </c>
      <c r="AW36" s="14">
        <v>78124.0</v>
      </c>
      <c r="AX36" s="15">
        <v>4.67849795197378</v>
      </c>
      <c r="AY36" s="15">
        <v>365.502974</v>
      </c>
      <c r="AZ36" s="26">
        <f t="shared" si="8"/>
        <v>0.005116130535</v>
      </c>
    </row>
    <row r="37">
      <c r="B37" s="20" t="s">
        <v>56</v>
      </c>
      <c r="C37" s="21">
        <v>78121.0</v>
      </c>
      <c r="D37" s="22">
        <v>4.5520055938864</v>
      </c>
      <c r="E37" s="23">
        <v>355.607229</v>
      </c>
      <c r="F37" s="24">
        <f t="shared" si="1"/>
        <v>0.005001365599</v>
      </c>
      <c r="G37" s="17"/>
      <c r="H37" s="4"/>
      <c r="I37" s="29"/>
      <c r="J37" s="20" t="s">
        <v>58</v>
      </c>
      <c r="K37" s="21">
        <v>80416.0</v>
      </c>
      <c r="L37" s="22">
        <v>4.41281708863907</v>
      </c>
      <c r="M37" s="23">
        <v>354.861099</v>
      </c>
      <c r="N37" s="26">
        <f t="shared" si="2"/>
        <v>0.004970583025</v>
      </c>
      <c r="O37" s="3"/>
      <c r="P37" s="20" t="s">
        <v>57</v>
      </c>
      <c r="Q37" s="14">
        <v>80412.0</v>
      </c>
      <c r="R37" s="15">
        <v>4.53929202109137</v>
      </c>
      <c r="S37" s="15">
        <v>365.01355</v>
      </c>
      <c r="T37" s="26">
        <f t="shared" si="3"/>
        <v>0.005125101345</v>
      </c>
      <c r="V37" s="20" t="s">
        <v>57</v>
      </c>
      <c r="W37" s="21">
        <v>80410.0</v>
      </c>
      <c r="X37" s="22">
        <v>4.42822362890187</v>
      </c>
      <c r="Y37" s="23">
        <v>356.073462</v>
      </c>
      <c r="Z37" s="24">
        <f t="shared" si="4"/>
        <v>0.00496395576</v>
      </c>
      <c r="AA37" s="17"/>
      <c r="AB37" s="4"/>
      <c r="AC37" s="29"/>
      <c r="AD37" s="20" t="s">
        <v>58</v>
      </c>
      <c r="AE37" s="21">
        <v>80408.0</v>
      </c>
      <c r="AF37" s="22">
        <v>4.56266908765297</v>
      </c>
      <c r="AG37" s="23">
        <v>366.875096</v>
      </c>
      <c r="AH37" s="26">
        <f t="shared" si="5"/>
        <v>0.005088996557</v>
      </c>
      <c r="AI37" s="3"/>
      <c r="AJ37" s="20" t="s">
        <v>59</v>
      </c>
      <c r="AK37" s="14">
        <v>80408.0</v>
      </c>
      <c r="AL37" s="15">
        <v>4.33434222962889</v>
      </c>
      <c r="AM37" s="15">
        <v>348.51579</v>
      </c>
      <c r="AN37" s="26">
        <f t="shared" si="6"/>
        <v>0.004850345828</v>
      </c>
      <c r="AP37" s="20" t="s">
        <v>59</v>
      </c>
      <c r="AQ37" s="21">
        <v>80408.0</v>
      </c>
      <c r="AR37" s="22">
        <v>4.29645029101581</v>
      </c>
      <c r="AS37" s="23">
        <v>345.468975</v>
      </c>
      <c r="AT37" s="26">
        <f t="shared" si="7"/>
        <v>0.004806399162</v>
      </c>
      <c r="AU37" s="3"/>
      <c r="AV37" s="20" t="s">
        <v>57</v>
      </c>
      <c r="AW37" s="14">
        <v>80411.0</v>
      </c>
      <c r="AX37" s="15">
        <v>4.5440886197162</v>
      </c>
      <c r="AY37" s="15">
        <v>365.39471</v>
      </c>
      <c r="AZ37" s="26">
        <f t="shared" si="8"/>
        <v>0.005114615108</v>
      </c>
    </row>
    <row r="38">
      <c r="B38" s="20" t="s">
        <v>58</v>
      </c>
      <c r="C38" s="21">
        <v>80412.0</v>
      </c>
      <c r="D38" s="22">
        <v>4.38075672785156</v>
      </c>
      <c r="E38" s="23">
        <v>352.26541</v>
      </c>
      <c r="F38" s="24">
        <f t="shared" si="1"/>
        <v>0.004954365264</v>
      </c>
      <c r="G38" s="17"/>
      <c r="H38" s="4"/>
      <c r="I38" s="29"/>
      <c r="J38" s="20" t="s">
        <v>59</v>
      </c>
      <c r="K38" s="21">
        <v>80412.0</v>
      </c>
      <c r="L38" s="22">
        <v>4.38301524648062</v>
      </c>
      <c r="M38" s="23">
        <v>352.447022</v>
      </c>
      <c r="N38" s="26">
        <f t="shared" si="2"/>
        <v>0.004936768752</v>
      </c>
      <c r="O38" s="3"/>
      <c r="P38" s="20" t="s">
        <v>58</v>
      </c>
      <c r="Q38" s="14">
        <v>80413.0</v>
      </c>
      <c r="R38" s="15">
        <v>4.45008657804086</v>
      </c>
      <c r="S38" s="15">
        <v>357.844812</v>
      </c>
      <c r="T38" s="26">
        <f t="shared" si="3"/>
        <v>0.005024446153</v>
      </c>
      <c r="V38" s="20" t="s">
        <v>58</v>
      </c>
      <c r="W38" s="21">
        <v>80414.0</v>
      </c>
      <c r="X38" s="22">
        <v>4.36547837441241</v>
      </c>
      <c r="Y38" s="23">
        <v>351.045578</v>
      </c>
      <c r="Z38" s="24">
        <f t="shared" si="4"/>
        <v>0.004893862938</v>
      </c>
      <c r="AA38" s="17"/>
      <c r="AB38" s="4"/>
      <c r="AC38" s="29"/>
      <c r="AD38" s="20" t="s">
        <v>59</v>
      </c>
      <c r="AE38" s="21">
        <v>80413.0</v>
      </c>
      <c r="AF38" s="22">
        <v>4.45920767786303</v>
      </c>
      <c r="AG38" s="23">
        <v>358.578267</v>
      </c>
      <c r="AH38" s="26">
        <f t="shared" si="5"/>
        <v>0.004973909611</v>
      </c>
      <c r="AI38" s="3"/>
      <c r="AJ38" s="20" t="s">
        <v>60</v>
      </c>
      <c r="AK38" s="14">
        <v>58766.0</v>
      </c>
      <c r="AL38" s="15">
        <v>4.57904317122145</v>
      </c>
      <c r="AM38" s="15">
        <v>269.092051</v>
      </c>
      <c r="AN38" s="26">
        <f t="shared" si="6"/>
        <v>0.003744993898</v>
      </c>
      <c r="AP38" s="20" t="s">
        <v>60</v>
      </c>
      <c r="AQ38" s="21">
        <v>58763.0</v>
      </c>
      <c r="AR38" s="22">
        <v>4.56601378418392</v>
      </c>
      <c r="AS38" s="23">
        <v>268.312668</v>
      </c>
      <c r="AT38" s="26">
        <f t="shared" si="7"/>
        <v>0.003732948183</v>
      </c>
      <c r="AU38" s="3"/>
      <c r="AV38" s="20" t="s">
        <v>58</v>
      </c>
      <c r="AW38" s="14">
        <v>80414.0</v>
      </c>
      <c r="AX38" s="15">
        <v>4.525323849081</v>
      </c>
      <c r="AY38" s="15">
        <v>363.899392</v>
      </c>
      <c r="AZ38" s="26">
        <f t="shared" si="8"/>
        <v>0.005093684384</v>
      </c>
    </row>
    <row r="39">
      <c r="B39" s="20" t="s">
        <v>59</v>
      </c>
      <c r="C39" s="21">
        <v>80405.0</v>
      </c>
      <c r="D39" s="22">
        <v>4.27089440955164</v>
      </c>
      <c r="E39" s="23">
        <v>343.401265</v>
      </c>
      <c r="F39" s="24">
        <f t="shared" si="1"/>
        <v>0.004829697299</v>
      </c>
      <c r="G39" s="17"/>
      <c r="H39" s="4"/>
      <c r="I39" s="29"/>
      <c r="J39" s="20" t="s">
        <v>60</v>
      </c>
      <c r="K39" s="21">
        <v>58761.0</v>
      </c>
      <c r="L39" s="22">
        <v>4.70327669712904</v>
      </c>
      <c r="M39" s="23">
        <v>276.369242</v>
      </c>
      <c r="N39" s="26">
        <f t="shared" si="2"/>
        <v>0.003871137938</v>
      </c>
      <c r="O39" s="3"/>
      <c r="P39" s="20" t="s">
        <v>59</v>
      </c>
      <c r="Q39" s="14">
        <v>80405.0</v>
      </c>
      <c r="R39" s="15">
        <v>4.40136641999875</v>
      </c>
      <c r="S39" s="15">
        <v>353.891867</v>
      </c>
      <c r="T39" s="26">
        <f t="shared" si="3"/>
        <v>0.004968943436</v>
      </c>
      <c r="V39" s="20" t="s">
        <v>59</v>
      </c>
      <c r="W39" s="21">
        <v>80412.0</v>
      </c>
      <c r="X39" s="22">
        <v>4.31393607919215</v>
      </c>
      <c r="Y39" s="23">
        <v>346.892228</v>
      </c>
      <c r="Z39" s="24">
        <f t="shared" si="4"/>
        <v>0.004835961836</v>
      </c>
      <c r="AA39" s="17"/>
      <c r="AB39" s="4"/>
      <c r="AC39" s="29"/>
      <c r="AD39" s="20" t="s">
        <v>60</v>
      </c>
      <c r="AE39" s="21">
        <v>58763.0</v>
      </c>
      <c r="AF39" s="22">
        <v>4.74777145482701</v>
      </c>
      <c r="AG39" s="23">
        <v>278.993294</v>
      </c>
      <c r="AH39" s="26">
        <f t="shared" si="5"/>
        <v>0.00386997081</v>
      </c>
      <c r="AI39" s="3"/>
      <c r="AJ39" s="20" t="s">
        <v>61</v>
      </c>
      <c r="AK39" s="14">
        <v>21647.0</v>
      </c>
      <c r="AL39" s="15">
        <v>5.47372194761398</v>
      </c>
      <c r="AM39" s="15">
        <v>118.489659</v>
      </c>
      <c r="AN39" s="26">
        <f t="shared" si="6"/>
        <v>0.00164903812</v>
      </c>
      <c r="AP39" s="20" t="s">
        <v>61</v>
      </c>
      <c r="AQ39" s="21">
        <v>21648.0</v>
      </c>
      <c r="AR39" s="22">
        <v>5.51786825572801</v>
      </c>
      <c r="AS39" s="23">
        <v>119.450812</v>
      </c>
      <c r="AT39" s="26">
        <f t="shared" si="7"/>
        <v>0.001661880876</v>
      </c>
      <c r="AU39" s="3"/>
      <c r="AV39" s="20" t="s">
        <v>59</v>
      </c>
      <c r="AW39" s="14">
        <v>80411.0</v>
      </c>
      <c r="AX39" s="15">
        <v>4.45668744326025</v>
      </c>
      <c r="AY39" s="15">
        <v>358.366694</v>
      </c>
      <c r="AZ39" s="26">
        <f t="shared" si="8"/>
        <v>0.005016240403</v>
      </c>
    </row>
    <row r="40">
      <c r="B40" s="20" t="s">
        <v>60</v>
      </c>
      <c r="C40" s="21">
        <v>58763.0</v>
      </c>
      <c r="D40" s="22">
        <v>4.55917192791382</v>
      </c>
      <c r="E40" s="23">
        <v>267.91062</v>
      </c>
      <c r="F40" s="24">
        <f t="shared" si="1"/>
        <v>0.003767974465</v>
      </c>
      <c r="G40" s="17"/>
      <c r="H40" s="4"/>
      <c r="I40" s="29"/>
      <c r="J40" s="20" t="s">
        <v>52</v>
      </c>
      <c r="K40" s="21">
        <v>233.0</v>
      </c>
      <c r="L40" s="22">
        <v>1005.45903433476</v>
      </c>
      <c r="M40" s="23">
        <v>234.271955</v>
      </c>
      <c r="N40" s="26">
        <f t="shared" si="2"/>
        <v>0.003281476065</v>
      </c>
      <c r="O40" s="3"/>
      <c r="P40" s="20" t="s">
        <v>62</v>
      </c>
      <c r="Q40" s="14">
        <v>1023.0</v>
      </c>
      <c r="R40" s="15">
        <v>330.765186705767</v>
      </c>
      <c r="S40" s="15">
        <v>338.372786</v>
      </c>
      <c r="T40" s="26">
        <f t="shared" si="3"/>
        <v>0.004751042312</v>
      </c>
      <c r="V40" s="20" t="s">
        <v>62</v>
      </c>
      <c r="W40" s="21">
        <v>1023.0</v>
      </c>
      <c r="X40" s="22">
        <v>328.421840664711</v>
      </c>
      <c r="Y40" s="23">
        <v>335.975543</v>
      </c>
      <c r="Z40" s="24">
        <f t="shared" si="4"/>
        <v>0.004683774304</v>
      </c>
      <c r="AA40" s="17"/>
      <c r="AB40" s="4"/>
      <c r="AC40" s="29"/>
      <c r="AD40" s="20" t="s">
        <v>45</v>
      </c>
      <c r="AE40" s="21">
        <v>236.0</v>
      </c>
      <c r="AF40" s="22">
        <v>950.939038135593</v>
      </c>
      <c r="AG40" s="23">
        <v>224.421613</v>
      </c>
      <c r="AH40" s="26">
        <f t="shared" si="5"/>
        <v>0.003112996298</v>
      </c>
      <c r="AI40" s="3"/>
      <c r="AJ40" s="20" t="s">
        <v>63</v>
      </c>
      <c r="AK40" s="14">
        <v>26801.0</v>
      </c>
      <c r="AL40" s="15">
        <v>4.34226659453005</v>
      </c>
      <c r="AM40" s="15">
        <v>116.377087</v>
      </c>
      <c r="AN40" s="26">
        <f t="shared" si="6"/>
        <v>0.001619637143</v>
      </c>
      <c r="AP40" s="20" t="s">
        <v>63</v>
      </c>
      <c r="AQ40" s="21">
        <v>26807.0</v>
      </c>
      <c r="AR40" s="22">
        <v>4.33076729958592</v>
      </c>
      <c r="AS40" s="23">
        <v>116.094879</v>
      </c>
      <c r="AT40" s="26">
        <f t="shared" si="7"/>
        <v>0.001615190855</v>
      </c>
      <c r="AU40" s="3"/>
      <c r="AV40" s="20" t="s">
        <v>60</v>
      </c>
      <c r="AW40" s="14">
        <v>58762.0</v>
      </c>
      <c r="AX40" s="15">
        <v>4.73954213607433</v>
      </c>
      <c r="AY40" s="15">
        <v>278.504975</v>
      </c>
      <c r="AZ40" s="26">
        <f t="shared" si="8"/>
        <v>0.003898375411</v>
      </c>
    </row>
    <row r="41">
      <c r="B41" s="20" t="s">
        <v>64</v>
      </c>
      <c r="C41" s="21">
        <v>78.0</v>
      </c>
      <c r="D41" s="22">
        <v>1905.93425641025</v>
      </c>
      <c r="E41" s="23">
        <v>148.662872</v>
      </c>
      <c r="F41" s="24">
        <f t="shared" si="1"/>
        <v>0.002090838749</v>
      </c>
      <c r="G41" s="17"/>
      <c r="H41" s="4"/>
      <c r="I41" s="29"/>
      <c r="J41" s="20" t="s">
        <v>61</v>
      </c>
      <c r="K41" s="21">
        <v>21648.0</v>
      </c>
      <c r="L41" s="22">
        <v>5.41889204545454</v>
      </c>
      <c r="M41" s="23">
        <v>117.308175</v>
      </c>
      <c r="N41" s="26">
        <f t="shared" si="2"/>
        <v>0.001643150024</v>
      </c>
      <c r="O41" s="3"/>
      <c r="P41" s="20" t="s">
        <v>60</v>
      </c>
      <c r="Q41" s="14">
        <v>58764.0</v>
      </c>
      <c r="R41" s="15">
        <v>4.82592335443468</v>
      </c>
      <c r="S41" s="15">
        <v>283.59056</v>
      </c>
      <c r="T41" s="26">
        <f t="shared" si="3"/>
        <v>0.003981853168</v>
      </c>
      <c r="V41" s="20" t="s">
        <v>60</v>
      </c>
      <c r="W41" s="21">
        <v>58762.0</v>
      </c>
      <c r="X41" s="22">
        <v>4.71898784929035</v>
      </c>
      <c r="Y41" s="23">
        <v>277.297164</v>
      </c>
      <c r="Z41" s="24">
        <f t="shared" si="4"/>
        <v>0.003865749631</v>
      </c>
      <c r="AA41" s="17"/>
      <c r="AB41" s="4"/>
      <c r="AC41" s="29"/>
      <c r="AD41" s="20" t="s">
        <v>61</v>
      </c>
      <c r="AE41" s="21">
        <v>21651.0</v>
      </c>
      <c r="AF41" s="22">
        <v>5.59335531846104</v>
      </c>
      <c r="AG41" s="23">
        <v>121.101736</v>
      </c>
      <c r="AH41" s="26">
        <f t="shared" si="5"/>
        <v>0.00167982598</v>
      </c>
      <c r="AI41" s="3"/>
      <c r="AJ41" s="20" t="s">
        <v>65</v>
      </c>
      <c r="AK41" s="14">
        <v>21648.0</v>
      </c>
      <c r="AL41" s="15">
        <v>5.15051967849223</v>
      </c>
      <c r="AM41" s="15">
        <v>111.49845</v>
      </c>
      <c r="AN41" s="26">
        <f t="shared" si="6"/>
        <v>0.00155174043</v>
      </c>
      <c r="AP41" s="20" t="s">
        <v>66</v>
      </c>
      <c r="AQ41" s="21">
        <v>21651.0</v>
      </c>
      <c r="AR41" s="22">
        <v>4.62878726155835</v>
      </c>
      <c r="AS41" s="23">
        <v>100.217873</v>
      </c>
      <c r="AT41" s="26">
        <f t="shared" si="7"/>
        <v>0.001394299158</v>
      </c>
      <c r="AU41" s="3"/>
      <c r="AV41" s="20" t="s">
        <v>67</v>
      </c>
      <c r="AW41" s="14">
        <v>78.0</v>
      </c>
      <c r="AX41" s="15">
        <v>2874.61351282051</v>
      </c>
      <c r="AY41" s="15">
        <v>224.219854</v>
      </c>
      <c r="AZ41" s="26">
        <f t="shared" si="8"/>
        <v>0.003138519036</v>
      </c>
    </row>
    <row r="42">
      <c r="B42" s="20" t="s">
        <v>68</v>
      </c>
      <c r="C42" s="21">
        <v>78.0</v>
      </c>
      <c r="D42" s="22">
        <v>1760.63346153846</v>
      </c>
      <c r="E42" s="23">
        <v>137.32941</v>
      </c>
      <c r="F42" s="24">
        <f t="shared" si="1"/>
        <v>0.001931441576</v>
      </c>
      <c r="G42" s="17"/>
      <c r="H42" s="4"/>
      <c r="I42" s="29"/>
      <c r="J42" s="20" t="s">
        <v>67</v>
      </c>
      <c r="K42" s="21">
        <v>78.0</v>
      </c>
      <c r="L42" s="22">
        <v>1475.59247435897</v>
      </c>
      <c r="M42" s="23">
        <v>115.096213</v>
      </c>
      <c r="N42" s="26">
        <f t="shared" si="2"/>
        <v>0.001612166801</v>
      </c>
      <c r="O42" s="3"/>
      <c r="P42" s="20" t="s">
        <v>64</v>
      </c>
      <c r="Q42" s="14">
        <v>155.0</v>
      </c>
      <c r="R42" s="15">
        <v>1046.94569032258</v>
      </c>
      <c r="S42" s="15">
        <v>162.276582</v>
      </c>
      <c r="T42" s="26">
        <f t="shared" si="3"/>
        <v>0.00227850152</v>
      </c>
      <c r="V42" s="20" t="s">
        <v>64</v>
      </c>
      <c r="W42" s="21">
        <v>155.0</v>
      </c>
      <c r="X42" s="22">
        <v>1028.10160645161</v>
      </c>
      <c r="Y42" s="23">
        <v>159.355749</v>
      </c>
      <c r="Z42" s="24">
        <f t="shared" si="4"/>
        <v>0.002221549687</v>
      </c>
      <c r="AA42" s="17"/>
      <c r="AB42" s="4"/>
      <c r="AC42" s="29"/>
      <c r="AD42" s="20" t="s">
        <v>63</v>
      </c>
      <c r="AE42" s="21">
        <v>24761.0</v>
      </c>
      <c r="AF42" s="22">
        <v>4.34456068010177</v>
      </c>
      <c r="AG42" s="23">
        <v>107.575667</v>
      </c>
      <c r="AH42" s="26">
        <f t="shared" si="5"/>
        <v>0.001492203218</v>
      </c>
      <c r="AI42" s="3"/>
      <c r="AJ42" s="20" t="s">
        <v>69</v>
      </c>
      <c r="AK42" s="14">
        <v>21648.0</v>
      </c>
      <c r="AL42" s="15">
        <v>5.0356708240946</v>
      </c>
      <c r="AM42" s="15">
        <v>109.012202</v>
      </c>
      <c r="AN42" s="26">
        <f t="shared" si="6"/>
        <v>0.001517138949</v>
      </c>
      <c r="AP42" s="20" t="s">
        <v>70</v>
      </c>
      <c r="AQ42" s="21">
        <v>21646.0</v>
      </c>
      <c r="AR42" s="22">
        <v>4.56684523699528</v>
      </c>
      <c r="AS42" s="23">
        <v>98.853932</v>
      </c>
      <c r="AT42" s="26">
        <f t="shared" si="7"/>
        <v>0.001375323083</v>
      </c>
      <c r="AU42" s="3"/>
      <c r="AV42" s="20" t="s">
        <v>71</v>
      </c>
      <c r="AW42" s="14">
        <v>78.0</v>
      </c>
      <c r="AX42" s="15">
        <v>1988.13216666666</v>
      </c>
      <c r="AY42" s="15">
        <v>155.074309</v>
      </c>
      <c r="AZ42" s="26">
        <f t="shared" si="8"/>
        <v>0.002170653767</v>
      </c>
    </row>
    <row r="43">
      <c r="B43" s="20" t="s">
        <v>61</v>
      </c>
      <c r="C43" s="21">
        <v>21648.0</v>
      </c>
      <c r="D43" s="22">
        <v>5.36739449371766</v>
      </c>
      <c r="E43" s="23">
        <v>116.193356</v>
      </c>
      <c r="F43" s="24">
        <f t="shared" si="1"/>
        <v>0.00163417784</v>
      </c>
      <c r="G43" s="17"/>
      <c r="H43" s="4"/>
      <c r="I43" s="29"/>
      <c r="J43" s="20" t="s">
        <v>63</v>
      </c>
      <c r="K43" s="21">
        <v>24759.0</v>
      </c>
      <c r="L43" s="22">
        <v>4.27229019750393</v>
      </c>
      <c r="M43" s="23">
        <v>105.777633</v>
      </c>
      <c r="N43" s="26">
        <f t="shared" si="2"/>
        <v>0.001481640305</v>
      </c>
      <c r="O43" s="3"/>
      <c r="P43" s="20" t="s">
        <v>68</v>
      </c>
      <c r="Q43" s="14">
        <v>156.0</v>
      </c>
      <c r="R43" s="15">
        <v>884.736839743589</v>
      </c>
      <c r="S43" s="15">
        <v>138.018947</v>
      </c>
      <c r="T43" s="26">
        <f t="shared" si="3"/>
        <v>0.00193790365</v>
      </c>
      <c r="V43" s="20" t="s">
        <v>68</v>
      </c>
      <c r="W43" s="21">
        <v>156.0</v>
      </c>
      <c r="X43" s="22">
        <v>869.002147435897</v>
      </c>
      <c r="Y43" s="23">
        <v>135.564335</v>
      </c>
      <c r="Z43" s="24">
        <f t="shared" si="4"/>
        <v>0.001889877886</v>
      </c>
      <c r="AA43" s="17"/>
      <c r="AB43" s="4"/>
      <c r="AC43" s="29"/>
      <c r="AD43" s="20" t="s">
        <v>66</v>
      </c>
      <c r="AE43" s="21">
        <v>21651.0</v>
      </c>
      <c r="AF43" s="22">
        <v>4.74603025264421</v>
      </c>
      <c r="AG43" s="23">
        <v>102.756301</v>
      </c>
      <c r="AH43" s="26">
        <f t="shared" si="5"/>
        <v>0.001425352845</v>
      </c>
      <c r="AI43" s="3"/>
      <c r="AJ43" s="20" t="s">
        <v>66</v>
      </c>
      <c r="AK43" s="14">
        <v>21647.0</v>
      </c>
      <c r="AL43" s="15">
        <v>4.76190386658659</v>
      </c>
      <c r="AM43" s="15">
        <v>103.080933</v>
      </c>
      <c r="AN43" s="26">
        <f t="shared" si="6"/>
        <v>0.0014345926</v>
      </c>
      <c r="AP43" s="20" t="s">
        <v>72</v>
      </c>
      <c r="AQ43" s="21">
        <v>21648.0</v>
      </c>
      <c r="AR43" s="22">
        <v>4.51389518662232</v>
      </c>
      <c r="AS43" s="23">
        <v>97.716803</v>
      </c>
      <c r="AT43" s="26">
        <f t="shared" si="7"/>
        <v>0.001359502572</v>
      </c>
      <c r="AU43" s="3"/>
      <c r="AV43" s="20" t="s">
        <v>61</v>
      </c>
      <c r="AW43" s="14">
        <v>21649.0</v>
      </c>
      <c r="AX43" s="15">
        <v>5.5776711626403</v>
      </c>
      <c r="AY43" s="15">
        <v>120.751003</v>
      </c>
      <c r="AZ43" s="26">
        <f t="shared" si="8"/>
        <v>0.001690213042</v>
      </c>
    </row>
    <row r="44">
      <c r="B44" s="20" t="s">
        <v>63</v>
      </c>
      <c r="C44" s="21">
        <v>24760.0</v>
      </c>
      <c r="D44" s="22">
        <v>4.26211409531502</v>
      </c>
      <c r="E44" s="23">
        <v>105.529945</v>
      </c>
      <c r="F44" s="24">
        <f t="shared" si="1"/>
        <v>0.001484204464</v>
      </c>
      <c r="G44" s="17"/>
      <c r="H44" s="4"/>
      <c r="I44" s="29"/>
      <c r="J44" s="20" t="s">
        <v>71</v>
      </c>
      <c r="K44" s="21">
        <v>77.0</v>
      </c>
      <c r="L44" s="22">
        <v>1349.35181818181</v>
      </c>
      <c r="M44" s="23">
        <v>103.90009</v>
      </c>
      <c r="N44" s="26">
        <f t="shared" si="2"/>
        <v>0.00145534133</v>
      </c>
      <c r="O44" s="3"/>
      <c r="P44" s="20" t="s">
        <v>61</v>
      </c>
      <c r="Q44" s="14">
        <v>21670.0</v>
      </c>
      <c r="R44" s="15">
        <v>5.51956912782648</v>
      </c>
      <c r="S44" s="15">
        <v>119.609063</v>
      </c>
      <c r="T44" s="26">
        <f t="shared" si="3"/>
        <v>0.001679413188</v>
      </c>
      <c r="V44" s="20" t="s">
        <v>61</v>
      </c>
      <c r="W44" s="21">
        <v>21671.0</v>
      </c>
      <c r="X44" s="22">
        <v>5.5213527294541</v>
      </c>
      <c r="Y44" s="23">
        <v>119.653235</v>
      </c>
      <c r="Z44" s="24">
        <f t="shared" si="4"/>
        <v>0.001668064117</v>
      </c>
      <c r="AA44" s="17"/>
      <c r="AB44" s="4"/>
      <c r="AC44" s="29"/>
      <c r="AD44" s="20" t="s">
        <v>70</v>
      </c>
      <c r="AE44" s="21">
        <v>21649.0</v>
      </c>
      <c r="AF44" s="22">
        <v>4.68136070950159</v>
      </c>
      <c r="AG44" s="23">
        <v>101.346778</v>
      </c>
      <c r="AH44" s="26">
        <f t="shared" si="5"/>
        <v>0.001405801075</v>
      </c>
      <c r="AI44" s="3"/>
      <c r="AJ44" s="20" t="s">
        <v>72</v>
      </c>
      <c r="AK44" s="14">
        <v>21647.0</v>
      </c>
      <c r="AL44" s="15">
        <v>4.55748972143946</v>
      </c>
      <c r="AM44" s="15">
        <v>98.65598</v>
      </c>
      <c r="AN44" s="26">
        <f t="shared" si="6"/>
        <v>0.001373009874</v>
      </c>
      <c r="AP44" s="20" t="s">
        <v>73</v>
      </c>
      <c r="AQ44" s="21">
        <v>21646.0</v>
      </c>
      <c r="AR44" s="22">
        <v>4.39657585697126</v>
      </c>
      <c r="AS44" s="23">
        <v>95.168281</v>
      </c>
      <c r="AT44" s="26">
        <f t="shared" si="7"/>
        <v>0.001324045802</v>
      </c>
      <c r="AU44" s="3"/>
      <c r="AV44" s="20" t="s">
        <v>63</v>
      </c>
      <c r="AW44" s="14">
        <v>24759.0</v>
      </c>
      <c r="AX44" s="15">
        <v>4.34559618724504</v>
      </c>
      <c r="AY44" s="15">
        <v>107.592616</v>
      </c>
      <c r="AZ44" s="26">
        <f t="shared" si="8"/>
        <v>0.001506028424</v>
      </c>
    </row>
    <row r="45">
      <c r="B45" s="20" t="s">
        <v>66</v>
      </c>
      <c r="C45" s="21">
        <v>21650.0</v>
      </c>
      <c r="D45" s="22">
        <v>4.64131796766743</v>
      </c>
      <c r="E45" s="23">
        <v>100.484534</v>
      </c>
      <c r="F45" s="24">
        <f t="shared" si="1"/>
        <v>0.001413244306</v>
      </c>
      <c r="G45" s="17"/>
      <c r="H45" s="4"/>
      <c r="I45" s="29"/>
      <c r="J45" s="20" t="s">
        <v>66</v>
      </c>
      <c r="K45" s="21">
        <v>21650.0</v>
      </c>
      <c r="L45" s="22">
        <v>4.65679103926097</v>
      </c>
      <c r="M45" s="23">
        <v>100.819526</v>
      </c>
      <c r="N45" s="26">
        <f t="shared" si="2"/>
        <v>0.001412191491</v>
      </c>
      <c r="O45" s="3"/>
      <c r="P45" s="20" t="s">
        <v>63</v>
      </c>
      <c r="Q45" s="14">
        <v>24756.0</v>
      </c>
      <c r="R45" s="15">
        <v>4.31591634351268</v>
      </c>
      <c r="S45" s="15">
        <v>106.844825</v>
      </c>
      <c r="T45" s="26">
        <f t="shared" si="3"/>
        <v>0.001500192407</v>
      </c>
      <c r="V45" s="20" t="s">
        <v>63</v>
      </c>
      <c r="W45" s="21">
        <v>24757.0</v>
      </c>
      <c r="X45" s="22">
        <v>4.29259312517671</v>
      </c>
      <c r="Y45" s="23">
        <v>106.271728</v>
      </c>
      <c r="Z45" s="24">
        <f t="shared" si="4"/>
        <v>0.001481514947</v>
      </c>
      <c r="AA45" s="17"/>
      <c r="AB45" s="4"/>
      <c r="AC45" s="29"/>
      <c r="AD45" s="20" t="s">
        <v>72</v>
      </c>
      <c r="AE45" s="21">
        <v>21649.0</v>
      </c>
      <c r="AF45" s="22">
        <v>4.58439313594161</v>
      </c>
      <c r="AG45" s="23">
        <v>99.247527</v>
      </c>
      <c r="AH45" s="26">
        <f t="shared" si="5"/>
        <v>0.001376681952</v>
      </c>
      <c r="AI45" s="3"/>
      <c r="AJ45" s="20" t="s">
        <v>70</v>
      </c>
      <c r="AK45" s="14">
        <v>21644.0</v>
      </c>
      <c r="AL45" s="15">
        <v>4.51801561633709</v>
      </c>
      <c r="AM45" s="15">
        <v>97.78793</v>
      </c>
      <c r="AN45" s="26">
        <f t="shared" si="6"/>
        <v>0.001360929094</v>
      </c>
      <c r="AP45" s="20" t="s">
        <v>74</v>
      </c>
      <c r="AQ45" s="21">
        <v>21648.0</v>
      </c>
      <c r="AR45" s="22">
        <v>4.28427711566888</v>
      </c>
      <c r="AS45" s="23">
        <v>92.746031</v>
      </c>
      <c r="AT45" s="26">
        <f t="shared" si="7"/>
        <v>0.001290345814</v>
      </c>
      <c r="AU45" s="3"/>
      <c r="AV45" s="20" t="s">
        <v>66</v>
      </c>
      <c r="AW45" s="14">
        <v>21646.0</v>
      </c>
      <c r="AX45" s="15">
        <v>4.72235590871292</v>
      </c>
      <c r="AY45" s="15">
        <v>102.220116</v>
      </c>
      <c r="AZ45" s="26">
        <f t="shared" si="8"/>
        <v>0.001430826817</v>
      </c>
    </row>
    <row r="46">
      <c r="B46" s="20" t="s">
        <v>70</v>
      </c>
      <c r="C46" s="21">
        <v>21651.0</v>
      </c>
      <c r="D46" s="22">
        <v>4.43501293242806</v>
      </c>
      <c r="E46" s="23">
        <v>96.022465</v>
      </c>
      <c r="F46" s="24">
        <f t="shared" si="1"/>
        <v>0.001350488443</v>
      </c>
      <c r="G46" s="17"/>
      <c r="H46" s="4"/>
      <c r="I46" s="29"/>
      <c r="J46" s="20" t="s">
        <v>70</v>
      </c>
      <c r="K46" s="21">
        <v>21649.0</v>
      </c>
      <c r="L46" s="22">
        <v>4.48692553928587</v>
      </c>
      <c r="M46" s="23">
        <v>97.137451</v>
      </c>
      <c r="N46" s="26">
        <f t="shared" si="2"/>
        <v>0.001360616214</v>
      </c>
      <c r="O46" s="3"/>
      <c r="P46" s="20" t="s">
        <v>66</v>
      </c>
      <c r="Q46" s="14">
        <v>21650.0</v>
      </c>
      <c r="R46" s="15">
        <v>4.83460988452655</v>
      </c>
      <c r="S46" s="15">
        <v>104.669304</v>
      </c>
      <c r="T46" s="26">
        <f t="shared" si="3"/>
        <v>0.001469646238</v>
      </c>
      <c r="V46" s="20" t="s">
        <v>66</v>
      </c>
      <c r="W46" s="21">
        <v>21646.0</v>
      </c>
      <c r="X46" s="22">
        <v>4.6745354799963</v>
      </c>
      <c r="Y46" s="23">
        <v>101.184995</v>
      </c>
      <c r="Z46" s="24">
        <f t="shared" si="4"/>
        <v>0.001410601722</v>
      </c>
      <c r="AA46" s="17"/>
      <c r="AB46" s="4"/>
      <c r="AC46" s="29"/>
      <c r="AD46" s="20" t="s">
        <v>73</v>
      </c>
      <c r="AE46" s="21">
        <v>21629.0</v>
      </c>
      <c r="AF46" s="22">
        <v>4.49896578667529</v>
      </c>
      <c r="AG46" s="23">
        <v>97.308131</v>
      </c>
      <c r="AH46" s="26">
        <f t="shared" si="5"/>
        <v>0.001349780209</v>
      </c>
      <c r="AI46" s="3"/>
      <c r="AJ46" s="20" t="s">
        <v>73</v>
      </c>
      <c r="AK46" s="14">
        <v>21643.0</v>
      </c>
      <c r="AL46" s="15">
        <v>4.37692727440742</v>
      </c>
      <c r="AM46" s="15">
        <v>94.729837</v>
      </c>
      <c r="AN46" s="26">
        <f t="shared" si="6"/>
        <v>0.001318369161</v>
      </c>
      <c r="AP46" s="20" t="s">
        <v>69</v>
      </c>
      <c r="AQ46" s="21">
        <v>21650.0</v>
      </c>
      <c r="AR46" s="22">
        <v>4.25011279445727</v>
      </c>
      <c r="AS46" s="23">
        <v>92.014942</v>
      </c>
      <c r="AT46" s="26">
        <f t="shared" si="7"/>
        <v>0.001280174407</v>
      </c>
      <c r="AU46" s="3"/>
      <c r="AV46" s="20" t="s">
        <v>70</v>
      </c>
      <c r="AW46" s="14">
        <v>21648.0</v>
      </c>
      <c r="AX46" s="15">
        <v>4.67075545084996</v>
      </c>
      <c r="AY46" s="15">
        <v>101.112514</v>
      </c>
      <c r="AZ46" s="26">
        <f t="shared" si="8"/>
        <v>0.001415323149</v>
      </c>
    </row>
    <row r="47">
      <c r="B47" s="20" t="s">
        <v>74</v>
      </c>
      <c r="C47" s="21">
        <v>21628.0</v>
      </c>
      <c r="D47" s="22">
        <v>4.35548256889217</v>
      </c>
      <c r="E47" s="23">
        <v>94.200377</v>
      </c>
      <c r="F47" s="24">
        <f t="shared" si="1"/>
        <v>0.001324862057</v>
      </c>
      <c r="G47" s="17"/>
      <c r="H47" s="4"/>
      <c r="I47" s="29"/>
      <c r="J47" s="20" t="s">
        <v>72</v>
      </c>
      <c r="K47" s="21">
        <v>21650.0</v>
      </c>
      <c r="L47" s="22">
        <v>4.43424355658198</v>
      </c>
      <c r="M47" s="23">
        <v>96.001373</v>
      </c>
      <c r="N47" s="26">
        <f t="shared" si="2"/>
        <v>0.00134470303</v>
      </c>
      <c r="O47" s="3"/>
      <c r="P47" s="20" t="s">
        <v>70</v>
      </c>
      <c r="Q47" s="14">
        <v>21649.0</v>
      </c>
      <c r="R47" s="15">
        <v>4.51648205459836</v>
      </c>
      <c r="S47" s="15">
        <v>97.77732</v>
      </c>
      <c r="T47" s="26">
        <f t="shared" si="3"/>
        <v>0.001372876909</v>
      </c>
      <c r="V47" s="20" t="s">
        <v>70</v>
      </c>
      <c r="W47" s="21">
        <v>21650.0</v>
      </c>
      <c r="X47" s="22">
        <v>4.46496157043879</v>
      </c>
      <c r="Y47" s="23">
        <v>96.666418</v>
      </c>
      <c r="Z47" s="24">
        <f t="shared" si="4"/>
        <v>0.001347609057</v>
      </c>
      <c r="AA47" s="17"/>
      <c r="AB47" s="4"/>
      <c r="AC47" s="29"/>
      <c r="AD47" s="20" t="s">
        <v>74</v>
      </c>
      <c r="AE47" s="21">
        <v>21628.0</v>
      </c>
      <c r="AF47" s="22">
        <v>4.46631449972258</v>
      </c>
      <c r="AG47" s="23">
        <v>96.59745</v>
      </c>
      <c r="AH47" s="26">
        <f t="shared" si="5"/>
        <v>0.001339922213</v>
      </c>
      <c r="AI47" s="3"/>
      <c r="AJ47" s="20" t="s">
        <v>74</v>
      </c>
      <c r="AK47" s="14">
        <v>21647.0</v>
      </c>
      <c r="AL47" s="15">
        <v>4.25028544371044</v>
      </c>
      <c r="AM47" s="15">
        <v>92.005929</v>
      </c>
      <c r="AN47" s="26">
        <f t="shared" si="6"/>
        <v>0.00128046013</v>
      </c>
      <c r="AP47" s="20" t="s">
        <v>65</v>
      </c>
      <c r="AQ47" s="21">
        <v>21649.0</v>
      </c>
      <c r="AR47" s="22">
        <v>4.22720222643078</v>
      </c>
      <c r="AS47" s="23">
        <v>91.514701</v>
      </c>
      <c r="AT47" s="26">
        <f t="shared" si="7"/>
        <v>0.001273214714</v>
      </c>
      <c r="AU47" s="3"/>
      <c r="AV47" s="20" t="s">
        <v>75</v>
      </c>
      <c r="AW47" s="14">
        <v>78.0</v>
      </c>
      <c r="AX47" s="15">
        <v>1245.3281025641</v>
      </c>
      <c r="AY47" s="15">
        <v>97.135592</v>
      </c>
      <c r="AZ47" s="26">
        <f t="shared" si="8"/>
        <v>0.001359656155</v>
      </c>
    </row>
    <row r="48">
      <c r="B48" s="20" t="s">
        <v>72</v>
      </c>
      <c r="C48" s="21">
        <v>21649.0</v>
      </c>
      <c r="D48" s="22">
        <v>4.32908125086609</v>
      </c>
      <c r="E48" s="23">
        <v>93.72028</v>
      </c>
      <c r="F48" s="24">
        <f t="shared" si="1"/>
        <v>0.00131810983</v>
      </c>
      <c r="G48" s="17"/>
      <c r="H48" s="4"/>
      <c r="I48" s="29"/>
      <c r="J48" s="20" t="s">
        <v>74</v>
      </c>
      <c r="K48" s="21">
        <v>21626.0</v>
      </c>
      <c r="L48" s="22">
        <v>4.31590761120873</v>
      </c>
      <c r="M48" s="23">
        <v>93.335818</v>
      </c>
      <c r="N48" s="26">
        <f t="shared" si="2"/>
        <v>0.001307366273</v>
      </c>
      <c r="O48" s="3"/>
      <c r="P48" s="20" t="s">
        <v>72</v>
      </c>
      <c r="Q48" s="14">
        <v>21649.0</v>
      </c>
      <c r="R48" s="15">
        <v>4.37264289343618</v>
      </c>
      <c r="S48" s="15">
        <v>94.663346</v>
      </c>
      <c r="T48" s="26">
        <f t="shared" si="3"/>
        <v>0.00132915406</v>
      </c>
      <c r="V48" s="20" t="s">
        <v>72</v>
      </c>
      <c r="W48" s="21">
        <v>21649.0</v>
      </c>
      <c r="X48" s="22">
        <v>4.45769282645849</v>
      </c>
      <c r="Y48" s="23">
        <v>96.504592</v>
      </c>
      <c r="Z48" s="24">
        <f t="shared" si="4"/>
        <v>0.00134535307</v>
      </c>
      <c r="AA48" s="17"/>
      <c r="AB48" s="4"/>
      <c r="AC48" s="29"/>
      <c r="AD48" s="20" t="s">
        <v>65</v>
      </c>
      <c r="AE48" s="21">
        <v>21649.0</v>
      </c>
      <c r="AF48" s="22">
        <v>4.33553226476973</v>
      </c>
      <c r="AG48" s="23">
        <v>93.859938</v>
      </c>
      <c r="AH48" s="26">
        <f t="shared" si="5"/>
        <v>0.001301949646</v>
      </c>
      <c r="AI48" s="3"/>
      <c r="AJ48" s="20" t="s">
        <v>76</v>
      </c>
      <c r="AK48" s="14">
        <v>225.0</v>
      </c>
      <c r="AL48" s="15">
        <v>79.8944488888888</v>
      </c>
      <c r="AM48" s="15">
        <v>17.976251</v>
      </c>
      <c r="AN48" s="26">
        <f t="shared" si="6"/>
        <v>0.0002501781456</v>
      </c>
      <c r="AP48" s="20" t="s">
        <v>76</v>
      </c>
      <c r="AQ48" s="21">
        <v>225.0</v>
      </c>
      <c r="AR48" s="22">
        <v>74.4399377777777</v>
      </c>
      <c r="AS48" s="23">
        <v>16.748986</v>
      </c>
      <c r="AT48" s="26">
        <f t="shared" si="7"/>
        <v>0.0002330232759</v>
      </c>
      <c r="AU48" s="3"/>
      <c r="AV48" s="20" t="s">
        <v>74</v>
      </c>
      <c r="AW48" s="14">
        <v>21628.0</v>
      </c>
      <c r="AX48" s="15">
        <v>4.42858710930275</v>
      </c>
      <c r="AY48" s="15">
        <v>95.781482</v>
      </c>
      <c r="AZ48" s="26">
        <f t="shared" si="8"/>
        <v>0.00134070199</v>
      </c>
    </row>
    <row r="49">
      <c r="B49" s="20" t="s">
        <v>65</v>
      </c>
      <c r="C49" s="21">
        <v>21649.0</v>
      </c>
      <c r="D49" s="22">
        <v>4.29025520809275</v>
      </c>
      <c r="E49" s="23">
        <v>92.879735</v>
      </c>
      <c r="F49" s="24">
        <f t="shared" si="1"/>
        <v>0.001306288156</v>
      </c>
      <c r="G49" s="17"/>
      <c r="H49" s="4"/>
      <c r="I49" s="29"/>
      <c r="J49" s="20" t="s">
        <v>73</v>
      </c>
      <c r="K49" s="21">
        <v>21626.0</v>
      </c>
      <c r="L49" s="22">
        <v>4.28902566355313</v>
      </c>
      <c r="M49" s="23">
        <v>92.754469</v>
      </c>
      <c r="N49" s="26">
        <f t="shared" si="2"/>
        <v>0.001299223247</v>
      </c>
      <c r="O49" s="3"/>
      <c r="P49" s="20" t="s">
        <v>74</v>
      </c>
      <c r="Q49" s="14">
        <v>21629.0</v>
      </c>
      <c r="R49" s="15">
        <v>4.37175856488973</v>
      </c>
      <c r="S49" s="15">
        <v>94.556766</v>
      </c>
      <c r="T49" s="26">
        <f t="shared" si="3"/>
        <v>0.001327657586</v>
      </c>
      <c r="V49" s="20" t="s">
        <v>74</v>
      </c>
      <c r="W49" s="21">
        <v>21628.0</v>
      </c>
      <c r="X49" s="22">
        <v>4.43369164971333</v>
      </c>
      <c r="Y49" s="23">
        <v>95.891883</v>
      </c>
      <c r="Z49" s="24">
        <f t="shared" si="4"/>
        <v>0.001336811405</v>
      </c>
      <c r="AA49" s="17"/>
      <c r="AB49" s="4"/>
      <c r="AC49" s="29"/>
      <c r="AD49" s="20" t="s">
        <v>69</v>
      </c>
      <c r="AE49" s="21">
        <v>21649.0</v>
      </c>
      <c r="AF49" s="22">
        <v>4.27548912189939</v>
      </c>
      <c r="AG49" s="23">
        <v>92.560064</v>
      </c>
      <c r="AH49" s="26">
        <f t="shared" si="5"/>
        <v>0.001283918838</v>
      </c>
      <c r="AI49" s="3"/>
      <c r="AJ49" s="20" t="s">
        <v>77</v>
      </c>
      <c r="AK49" s="14">
        <v>3093.0</v>
      </c>
      <c r="AL49" s="15">
        <v>4.3541238279987</v>
      </c>
      <c r="AM49" s="15">
        <v>13.467305</v>
      </c>
      <c r="AN49" s="26">
        <f t="shared" si="6"/>
        <v>0.0001874264768</v>
      </c>
      <c r="AP49" s="20" t="s">
        <v>77</v>
      </c>
      <c r="AQ49" s="21">
        <v>3093.0</v>
      </c>
      <c r="AR49" s="22">
        <v>4.35446362754607</v>
      </c>
      <c r="AS49" s="23">
        <v>13.468356</v>
      </c>
      <c r="AT49" s="26">
        <f t="shared" si="7"/>
        <v>0.0001873809218</v>
      </c>
      <c r="AU49" s="3"/>
      <c r="AV49" s="20" t="s">
        <v>72</v>
      </c>
      <c r="AW49" s="14">
        <v>21649.0</v>
      </c>
      <c r="AX49" s="15">
        <v>4.41836976303755</v>
      </c>
      <c r="AY49" s="15">
        <v>95.653287</v>
      </c>
      <c r="AZ49" s="26">
        <f t="shared" si="8"/>
        <v>0.00133890758</v>
      </c>
    </row>
    <row r="50">
      <c r="B50" s="20" t="s">
        <v>73</v>
      </c>
      <c r="C50" s="21">
        <v>21627.0</v>
      </c>
      <c r="D50" s="22">
        <v>4.28957238636889</v>
      </c>
      <c r="E50" s="23">
        <v>92.770582</v>
      </c>
      <c r="F50" s="24">
        <f t="shared" si="1"/>
        <v>0.001304752996</v>
      </c>
      <c r="G50" s="17"/>
      <c r="H50" s="4"/>
      <c r="I50" s="29"/>
      <c r="J50" s="20" t="s">
        <v>65</v>
      </c>
      <c r="K50" s="21">
        <v>21648.0</v>
      </c>
      <c r="L50" s="22">
        <v>4.25097279194382</v>
      </c>
      <c r="M50" s="23">
        <v>92.025059</v>
      </c>
      <c r="N50" s="26">
        <f t="shared" si="2"/>
        <v>0.001289006311</v>
      </c>
      <c r="O50" s="3"/>
      <c r="P50" s="20" t="s">
        <v>73</v>
      </c>
      <c r="Q50" s="14">
        <v>21629.0</v>
      </c>
      <c r="R50" s="15">
        <v>4.36730283415784</v>
      </c>
      <c r="S50" s="15">
        <v>94.460393</v>
      </c>
      <c r="T50" s="26">
        <f t="shared" si="3"/>
        <v>0.001326304427</v>
      </c>
      <c r="V50" s="20" t="s">
        <v>73</v>
      </c>
      <c r="W50" s="21">
        <v>21627.0</v>
      </c>
      <c r="X50" s="22">
        <v>4.35156799371156</v>
      </c>
      <c r="Y50" s="23">
        <v>94.111361</v>
      </c>
      <c r="Z50" s="24">
        <f t="shared" si="4"/>
        <v>0.001311989469</v>
      </c>
      <c r="AA50" s="17"/>
      <c r="AB50" s="4"/>
      <c r="AC50" s="29"/>
      <c r="AD50" s="20" t="s">
        <v>64</v>
      </c>
      <c r="AE50" s="21">
        <v>78.0</v>
      </c>
      <c r="AF50" s="22">
        <v>1050.56243589743</v>
      </c>
      <c r="AG50" s="23">
        <v>81.94387</v>
      </c>
      <c r="AH50" s="26">
        <f t="shared" si="5"/>
        <v>0.001136659525</v>
      </c>
      <c r="AI50" s="3"/>
      <c r="AJ50" s="20" t="s">
        <v>78</v>
      </c>
      <c r="AK50" s="14">
        <v>2062.0</v>
      </c>
      <c r="AL50" s="15">
        <v>4.43799903006789</v>
      </c>
      <c r="AM50" s="15">
        <v>9.151154</v>
      </c>
      <c r="AN50" s="26">
        <f t="shared" si="6"/>
        <v>0.0001273579645</v>
      </c>
      <c r="AP50" s="20" t="s">
        <v>78</v>
      </c>
      <c r="AQ50" s="21">
        <v>2062.0</v>
      </c>
      <c r="AR50" s="22">
        <v>4.49330698351115</v>
      </c>
      <c r="AS50" s="23">
        <v>9.265199</v>
      </c>
      <c r="AT50" s="26">
        <f t="shared" si="7"/>
        <v>0.0001289037451</v>
      </c>
      <c r="AU50" s="3"/>
      <c r="AV50" s="20" t="s">
        <v>73</v>
      </c>
      <c r="AW50" s="14">
        <v>21627.0</v>
      </c>
      <c r="AX50" s="15">
        <v>4.4179263883109</v>
      </c>
      <c r="AY50" s="15">
        <v>95.546494</v>
      </c>
      <c r="AZ50" s="26">
        <f t="shared" si="8"/>
        <v>0.001337412744</v>
      </c>
    </row>
    <row r="51">
      <c r="B51" s="20" t="s">
        <v>69</v>
      </c>
      <c r="C51" s="21">
        <v>21648.0</v>
      </c>
      <c r="D51" s="22">
        <v>4.06811363636363</v>
      </c>
      <c r="E51" s="23">
        <v>88.066524</v>
      </c>
      <c r="F51" s="24">
        <f t="shared" si="1"/>
        <v>0.001238593728</v>
      </c>
      <c r="G51" s="17"/>
      <c r="H51" s="4"/>
      <c r="I51" s="29"/>
      <c r="J51" s="20" t="s">
        <v>69</v>
      </c>
      <c r="K51" s="21">
        <v>21650.0</v>
      </c>
      <c r="L51" s="22">
        <v>4.14278933025404</v>
      </c>
      <c r="M51" s="23">
        <v>89.691389</v>
      </c>
      <c r="N51" s="26">
        <f t="shared" si="2"/>
        <v>0.001256318309</v>
      </c>
      <c r="O51" s="3"/>
      <c r="P51" s="20" t="s">
        <v>65</v>
      </c>
      <c r="Q51" s="14">
        <v>21649.0</v>
      </c>
      <c r="R51" s="15">
        <v>4.27781611159868</v>
      </c>
      <c r="S51" s="15">
        <v>92.610441</v>
      </c>
      <c r="T51" s="26">
        <f t="shared" si="3"/>
        <v>0.001300329524</v>
      </c>
      <c r="V51" s="20" t="s">
        <v>65</v>
      </c>
      <c r="W51" s="21">
        <v>21648.0</v>
      </c>
      <c r="X51" s="22">
        <v>4.26784996304508</v>
      </c>
      <c r="Y51" s="23">
        <v>92.390416</v>
      </c>
      <c r="Z51" s="24">
        <f t="shared" si="4"/>
        <v>0.001287998086</v>
      </c>
      <c r="AA51" s="17"/>
      <c r="AB51" s="4"/>
      <c r="AC51" s="29"/>
      <c r="AD51" s="20" t="s">
        <v>68</v>
      </c>
      <c r="AE51" s="21">
        <v>78.0</v>
      </c>
      <c r="AF51" s="22">
        <v>886.35623076923</v>
      </c>
      <c r="AG51" s="23">
        <v>69.135786</v>
      </c>
      <c r="AH51" s="26">
        <f t="shared" si="5"/>
        <v>0.0009589960745</v>
      </c>
      <c r="AI51" s="3"/>
      <c r="AJ51" s="20" t="s">
        <v>79</v>
      </c>
      <c r="AK51" s="14">
        <v>2062.0</v>
      </c>
      <c r="AL51" s="15">
        <v>4.38299660523763</v>
      </c>
      <c r="AM51" s="15">
        <v>9.037739</v>
      </c>
      <c r="AN51" s="26">
        <f t="shared" si="6"/>
        <v>0.0001257795512</v>
      </c>
      <c r="AP51" s="20" t="s">
        <v>79</v>
      </c>
      <c r="AQ51" s="21">
        <v>2062.0</v>
      </c>
      <c r="AR51" s="22">
        <v>4.25125363724539</v>
      </c>
      <c r="AS51" s="23">
        <v>8.766085</v>
      </c>
      <c r="AT51" s="26">
        <f t="shared" si="7"/>
        <v>0.000121959732</v>
      </c>
      <c r="AU51" s="3"/>
      <c r="AV51" s="20" t="s">
        <v>65</v>
      </c>
      <c r="AW51" s="14">
        <v>21648.0</v>
      </c>
      <c r="AX51" s="15">
        <v>4.3648128233555</v>
      </c>
      <c r="AY51" s="15">
        <v>94.489468</v>
      </c>
      <c r="AZ51" s="26">
        <f t="shared" si="8"/>
        <v>0.001322617015</v>
      </c>
    </row>
    <row r="52">
      <c r="B52" s="20" t="s">
        <v>80</v>
      </c>
      <c r="C52" s="21">
        <v>78.0</v>
      </c>
      <c r="D52" s="22">
        <v>908.462666666666</v>
      </c>
      <c r="E52" s="23">
        <v>70.860088</v>
      </c>
      <c r="F52" s="24">
        <f t="shared" si="1"/>
        <v>0.0009965973061</v>
      </c>
      <c r="G52" s="17"/>
      <c r="H52" s="4"/>
      <c r="I52" s="29"/>
      <c r="J52" s="20" t="s">
        <v>75</v>
      </c>
      <c r="K52" s="21">
        <v>78.0</v>
      </c>
      <c r="L52" s="22">
        <v>1024.64743589743</v>
      </c>
      <c r="M52" s="23">
        <v>79.9225</v>
      </c>
      <c r="N52" s="26">
        <f t="shared" si="2"/>
        <v>0.00111948428</v>
      </c>
      <c r="O52" s="3"/>
      <c r="P52" s="20" t="s">
        <v>81</v>
      </c>
      <c r="Q52" s="14">
        <v>9207.0</v>
      </c>
      <c r="R52" s="15">
        <v>9.69693852503529</v>
      </c>
      <c r="S52" s="15">
        <v>89.279713</v>
      </c>
      <c r="T52" s="26">
        <f t="shared" si="3"/>
        <v>0.001253563264</v>
      </c>
      <c r="V52" s="20" t="s">
        <v>81</v>
      </c>
      <c r="W52" s="21">
        <v>9207.0</v>
      </c>
      <c r="X52" s="22">
        <v>9.66891115455631</v>
      </c>
      <c r="Y52" s="23">
        <v>89.021665</v>
      </c>
      <c r="Z52" s="24">
        <f t="shared" si="4"/>
        <v>0.001241034938</v>
      </c>
      <c r="AA52" s="17"/>
      <c r="AB52" s="4"/>
      <c r="AC52" s="29"/>
      <c r="AD52" s="20" t="s">
        <v>82</v>
      </c>
      <c r="AE52" s="21">
        <v>8192.0</v>
      </c>
      <c r="AF52" s="22">
        <v>7.74608874511718</v>
      </c>
      <c r="AG52" s="23">
        <v>63.455959</v>
      </c>
      <c r="AH52" s="26">
        <f t="shared" si="5"/>
        <v>0.000880210078</v>
      </c>
      <c r="AI52" s="3"/>
      <c r="AJ52" s="20" t="s">
        <v>83</v>
      </c>
      <c r="AK52" s="14">
        <v>2053.0</v>
      </c>
      <c r="AL52" s="15">
        <v>4.29605358012664</v>
      </c>
      <c r="AM52" s="15">
        <v>8.819798</v>
      </c>
      <c r="AN52" s="26">
        <f t="shared" si="6"/>
        <v>0.0001227464341</v>
      </c>
      <c r="AP52" s="20" t="s">
        <v>84</v>
      </c>
      <c r="AQ52" s="21">
        <v>2062.0</v>
      </c>
      <c r="AR52" s="22">
        <v>4.23686226964112</v>
      </c>
      <c r="AS52" s="23">
        <v>8.73641</v>
      </c>
      <c r="AT52" s="26">
        <f t="shared" si="7"/>
        <v>0.0001215468732</v>
      </c>
      <c r="AU52" s="3"/>
      <c r="AV52" s="20" t="s">
        <v>69</v>
      </c>
      <c r="AW52" s="14">
        <v>21650.0</v>
      </c>
      <c r="AX52" s="15">
        <v>4.20172226327944</v>
      </c>
      <c r="AY52" s="15">
        <v>90.967287</v>
      </c>
      <c r="AZ52" s="26">
        <f t="shared" si="8"/>
        <v>0.001273315261</v>
      </c>
    </row>
    <row r="53">
      <c r="B53" s="20" t="s">
        <v>82</v>
      </c>
      <c r="C53" s="21">
        <v>8192.0</v>
      </c>
      <c r="D53" s="22">
        <v>7.04336535644531</v>
      </c>
      <c r="E53" s="23">
        <v>57.699249</v>
      </c>
      <c r="F53" s="24">
        <f t="shared" si="1"/>
        <v>0.0008114993608</v>
      </c>
      <c r="G53" s="17"/>
      <c r="H53" s="4"/>
      <c r="I53" s="29"/>
      <c r="J53" s="20" t="s">
        <v>85</v>
      </c>
      <c r="K53" s="21">
        <v>1024.0</v>
      </c>
      <c r="L53" s="22">
        <v>56.443109375</v>
      </c>
      <c r="M53" s="23">
        <v>57.797744</v>
      </c>
      <c r="N53" s="26">
        <f t="shared" si="2"/>
        <v>0.0008095801034</v>
      </c>
      <c r="O53" s="3"/>
      <c r="P53" s="20" t="s">
        <v>69</v>
      </c>
      <c r="Q53" s="14">
        <v>21649.0</v>
      </c>
      <c r="R53" s="15">
        <v>4.09954917086239</v>
      </c>
      <c r="S53" s="15">
        <v>88.75114</v>
      </c>
      <c r="T53" s="26">
        <f t="shared" si="3"/>
        <v>0.001246141649</v>
      </c>
      <c r="V53" s="20" t="s">
        <v>69</v>
      </c>
      <c r="W53" s="21">
        <v>21649.0</v>
      </c>
      <c r="X53" s="22">
        <v>4.04006175804887</v>
      </c>
      <c r="Y53" s="23">
        <v>87.463297</v>
      </c>
      <c r="Z53" s="24">
        <f t="shared" si="4"/>
        <v>0.001219310011</v>
      </c>
      <c r="AA53" s="17"/>
      <c r="AB53" s="4"/>
      <c r="AC53" s="29"/>
      <c r="AD53" s="20" t="s">
        <v>85</v>
      </c>
      <c r="AE53" s="21">
        <v>1024.0</v>
      </c>
      <c r="AF53" s="22">
        <v>55.308640625</v>
      </c>
      <c r="AG53" s="23">
        <v>56.636048</v>
      </c>
      <c r="AH53" s="26">
        <f t="shared" si="5"/>
        <v>0.0007856097522</v>
      </c>
      <c r="AI53" s="3"/>
      <c r="AJ53" s="20" t="s">
        <v>84</v>
      </c>
      <c r="AK53" s="14">
        <v>2062.0</v>
      </c>
      <c r="AL53" s="15">
        <v>4.24153928225024</v>
      </c>
      <c r="AM53" s="15">
        <v>8.746054</v>
      </c>
      <c r="AN53" s="26">
        <f t="shared" si="6"/>
        <v>0.0001217201279</v>
      </c>
      <c r="AP53" s="20" t="s">
        <v>83</v>
      </c>
      <c r="AQ53" s="21">
        <v>2053.0</v>
      </c>
      <c r="AR53" s="22">
        <v>4.22410716025328</v>
      </c>
      <c r="AS53" s="23">
        <v>8.672092</v>
      </c>
      <c r="AT53" s="26">
        <f t="shared" si="7"/>
        <v>0.0001206520375</v>
      </c>
      <c r="AU53" s="3"/>
      <c r="AV53" s="20" t="s">
        <v>82</v>
      </c>
      <c r="AW53" s="14">
        <v>8192.0</v>
      </c>
      <c r="AX53" s="15">
        <v>7.98175744628906</v>
      </c>
      <c r="AY53" s="15">
        <v>65.386557</v>
      </c>
      <c r="AZ53" s="26">
        <f t="shared" si="8"/>
        <v>0.0009152488068</v>
      </c>
    </row>
    <row r="54">
      <c r="B54" s="20" t="s">
        <v>85</v>
      </c>
      <c r="C54" s="21">
        <v>1024.0</v>
      </c>
      <c r="D54" s="22">
        <v>54.8793310546875</v>
      </c>
      <c r="E54" s="23">
        <v>56.196435</v>
      </c>
      <c r="F54" s="24">
        <f t="shared" si="1"/>
        <v>0.0007903633387</v>
      </c>
      <c r="G54" s="17"/>
      <c r="H54" s="4"/>
      <c r="I54" s="29"/>
      <c r="J54" s="20" t="s">
        <v>82</v>
      </c>
      <c r="K54" s="21">
        <v>8192.0</v>
      </c>
      <c r="L54" s="22">
        <v>6.93018518066406</v>
      </c>
      <c r="M54" s="23">
        <v>56.772077</v>
      </c>
      <c r="N54" s="26">
        <f t="shared" si="2"/>
        <v>0.0007952134597</v>
      </c>
      <c r="O54" s="3"/>
      <c r="P54" s="20" t="s">
        <v>86</v>
      </c>
      <c r="Q54" s="14">
        <v>9207.0</v>
      </c>
      <c r="R54" s="15">
        <v>6.86723786249592</v>
      </c>
      <c r="S54" s="15">
        <v>63.226659</v>
      </c>
      <c r="T54" s="26">
        <f t="shared" si="3"/>
        <v>0.0008877561807</v>
      </c>
      <c r="V54" s="20" t="s">
        <v>86</v>
      </c>
      <c r="W54" s="21">
        <v>9207.0</v>
      </c>
      <c r="X54" s="22">
        <v>6.7815037471489</v>
      </c>
      <c r="Y54" s="23">
        <v>62.437305</v>
      </c>
      <c r="Z54" s="24">
        <f t="shared" si="4"/>
        <v>0.000870427181</v>
      </c>
      <c r="AA54" s="17"/>
      <c r="AB54" s="4"/>
      <c r="AC54" s="29"/>
      <c r="AD54" s="20" t="s">
        <v>80</v>
      </c>
      <c r="AE54" s="21">
        <v>78.0</v>
      </c>
      <c r="AF54" s="22">
        <v>385.162307692307</v>
      </c>
      <c r="AG54" s="23">
        <v>30.04266</v>
      </c>
      <c r="AH54" s="26">
        <f t="shared" si="5"/>
        <v>0.000416727641</v>
      </c>
      <c r="AI54" s="3"/>
      <c r="AJ54" s="20" t="s">
        <v>87</v>
      </c>
      <c r="AK54" s="14">
        <v>1031.0</v>
      </c>
      <c r="AL54" s="15">
        <v>7.46364888457807</v>
      </c>
      <c r="AM54" s="15">
        <v>7.695022</v>
      </c>
      <c r="AN54" s="26">
        <f t="shared" si="6"/>
        <v>0.00010709276</v>
      </c>
      <c r="AP54" s="20" t="s">
        <v>87</v>
      </c>
      <c r="AQ54" s="21">
        <v>1031.0</v>
      </c>
      <c r="AR54" s="22">
        <v>7.44199806013579</v>
      </c>
      <c r="AS54" s="23">
        <v>7.6727</v>
      </c>
      <c r="AT54" s="26">
        <f t="shared" si="7"/>
        <v>0.0001067478168</v>
      </c>
      <c r="AU54" s="3"/>
      <c r="AV54" s="20" t="s">
        <v>85</v>
      </c>
      <c r="AW54" s="14">
        <v>1024.0</v>
      </c>
      <c r="AX54" s="15">
        <v>56.36648046875</v>
      </c>
      <c r="AY54" s="15">
        <v>57.719276</v>
      </c>
      <c r="AZ54" s="26">
        <f t="shared" si="8"/>
        <v>0.0008079259852</v>
      </c>
    </row>
    <row r="55">
      <c r="B55" s="20" t="s">
        <v>88</v>
      </c>
      <c r="C55" s="21">
        <v>75.0</v>
      </c>
      <c r="D55" s="22">
        <v>559.573653333333</v>
      </c>
      <c r="E55" s="23">
        <v>41.968024</v>
      </c>
      <c r="F55" s="24">
        <f t="shared" si="1"/>
        <v>0.000590250744</v>
      </c>
      <c r="G55" s="17"/>
      <c r="H55" s="4"/>
      <c r="I55" s="29"/>
      <c r="J55" s="20" t="s">
        <v>89</v>
      </c>
      <c r="K55" s="21">
        <v>73.0</v>
      </c>
      <c r="L55" s="22">
        <v>456.546424657534</v>
      </c>
      <c r="M55" s="23">
        <v>33.327889</v>
      </c>
      <c r="N55" s="26">
        <f t="shared" si="2"/>
        <v>0.0004668278371</v>
      </c>
      <c r="O55" s="3"/>
      <c r="P55" s="20" t="s">
        <v>90</v>
      </c>
      <c r="Q55" s="14">
        <v>9207.0</v>
      </c>
      <c r="R55" s="15">
        <v>6.70907733246443</v>
      </c>
      <c r="S55" s="15">
        <v>61.770475</v>
      </c>
      <c r="T55" s="26">
        <f t="shared" si="3"/>
        <v>0.0008673101162</v>
      </c>
      <c r="V55" s="20" t="s">
        <v>91</v>
      </c>
      <c r="W55" s="21">
        <v>9207.0</v>
      </c>
      <c r="X55" s="22">
        <v>6.62010513739546</v>
      </c>
      <c r="Y55" s="23">
        <v>60.951308</v>
      </c>
      <c r="Z55" s="24">
        <f t="shared" si="4"/>
        <v>0.0008497111655</v>
      </c>
      <c r="AA55" s="17"/>
      <c r="AB55" s="4"/>
      <c r="AC55" s="29"/>
      <c r="AD55" s="20" t="s">
        <v>88</v>
      </c>
      <c r="AE55" s="21">
        <v>75.0</v>
      </c>
      <c r="AF55" s="22">
        <v>296.667906666666</v>
      </c>
      <c r="AG55" s="23">
        <v>22.250093</v>
      </c>
      <c r="AH55" s="26">
        <f t="shared" si="5"/>
        <v>0.0003086354127</v>
      </c>
      <c r="AI55" s="3"/>
      <c r="AJ55" s="20" t="s">
        <v>92</v>
      </c>
      <c r="AK55" s="14">
        <v>1031.0</v>
      </c>
      <c r="AL55" s="15">
        <v>6.73516682832201</v>
      </c>
      <c r="AM55" s="15">
        <v>6.943957</v>
      </c>
      <c r="AN55" s="26">
        <f t="shared" si="6"/>
        <v>0.00009664007724</v>
      </c>
      <c r="AP55" s="20" t="s">
        <v>92</v>
      </c>
      <c r="AQ55" s="21">
        <v>1031.0</v>
      </c>
      <c r="AR55" s="22">
        <v>6.68090785645004</v>
      </c>
      <c r="AS55" s="23">
        <v>6.888016</v>
      </c>
      <c r="AT55" s="26">
        <f t="shared" si="7"/>
        <v>0.00009583075971</v>
      </c>
      <c r="AU55" s="3"/>
      <c r="AV55" s="20" t="s">
        <v>93</v>
      </c>
      <c r="AW55" s="14">
        <v>1.0</v>
      </c>
      <c r="AX55" s="15">
        <v>55222.428</v>
      </c>
      <c r="AY55" s="15">
        <v>55.222428</v>
      </c>
      <c r="AZ55" s="26">
        <f t="shared" si="8"/>
        <v>0.0007729763372</v>
      </c>
    </row>
    <row r="56">
      <c r="B56" s="20" t="s">
        <v>93</v>
      </c>
      <c r="C56" s="21">
        <v>1.0</v>
      </c>
      <c r="D56" s="22">
        <v>21859.064</v>
      </c>
      <c r="E56" s="23">
        <v>21.859064</v>
      </c>
      <c r="F56" s="24">
        <f t="shared" si="1"/>
        <v>0.000307432363</v>
      </c>
      <c r="G56" s="17"/>
      <c r="H56" s="4"/>
      <c r="I56" s="29"/>
      <c r="J56" s="20" t="s">
        <v>76</v>
      </c>
      <c r="K56" s="21">
        <v>225.0</v>
      </c>
      <c r="L56" s="22">
        <v>81.4279422222222</v>
      </c>
      <c r="M56" s="23">
        <v>18.321287</v>
      </c>
      <c r="N56" s="26">
        <f t="shared" si="2"/>
        <v>0.0002566285187</v>
      </c>
      <c r="O56" s="3"/>
      <c r="P56" s="20" t="s">
        <v>91</v>
      </c>
      <c r="Q56" s="14">
        <v>9207.0</v>
      </c>
      <c r="R56" s="15">
        <v>6.58167655045074</v>
      </c>
      <c r="S56" s="15">
        <v>60.597496</v>
      </c>
      <c r="T56" s="26">
        <f t="shared" si="3"/>
        <v>0.0008508404913</v>
      </c>
      <c r="V56" s="20" t="s">
        <v>90</v>
      </c>
      <c r="W56" s="21">
        <v>9207.0</v>
      </c>
      <c r="X56" s="22">
        <v>6.4858743347453</v>
      </c>
      <c r="Y56" s="23">
        <v>59.715445</v>
      </c>
      <c r="Z56" s="24">
        <f t="shared" si="4"/>
        <v>0.0008324822229</v>
      </c>
      <c r="AA56" s="17"/>
      <c r="AB56" s="4"/>
      <c r="AC56" s="29"/>
      <c r="AD56" s="20" t="s">
        <v>76</v>
      </c>
      <c r="AE56" s="21">
        <v>225.0</v>
      </c>
      <c r="AF56" s="22">
        <v>81.2883911111111</v>
      </c>
      <c r="AG56" s="23">
        <v>18.289888</v>
      </c>
      <c r="AH56" s="26">
        <f t="shared" si="5"/>
        <v>0.0002537026309</v>
      </c>
      <c r="AI56" s="3"/>
      <c r="AJ56" s="20" t="s">
        <v>94</v>
      </c>
      <c r="AK56" s="14">
        <v>1031.0</v>
      </c>
      <c r="AL56" s="15">
        <v>6.64101745877788</v>
      </c>
      <c r="AM56" s="15">
        <v>6.846889</v>
      </c>
      <c r="AN56" s="26">
        <f t="shared" si="6"/>
        <v>0.00009528916752</v>
      </c>
      <c r="AP56" s="20" t="s">
        <v>94</v>
      </c>
      <c r="AQ56" s="21">
        <v>1031.0</v>
      </c>
      <c r="AR56" s="22">
        <v>6.3757759456838</v>
      </c>
      <c r="AS56" s="23">
        <v>6.573425</v>
      </c>
      <c r="AT56" s="26">
        <f t="shared" si="7"/>
        <v>0.00009145395592</v>
      </c>
      <c r="AU56" s="3"/>
      <c r="AV56" s="20" t="s">
        <v>89</v>
      </c>
      <c r="AW56" s="14">
        <v>75.0</v>
      </c>
      <c r="AX56" s="15">
        <v>556.103946666666</v>
      </c>
      <c r="AY56" s="15">
        <v>41.707796</v>
      </c>
      <c r="AZ56" s="26">
        <f t="shared" si="8"/>
        <v>0.0005838051776</v>
      </c>
    </row>
    <row r="57">
      <c r="B57" s="20" t="s">
        <v>95</v>
      </c>
      <c r="C57" s="21">
        <v>21.0</v>
      </c>
      <c r="D57" s="22">
        <v>901.284476190476</v>
      </c>
      <c r="E57" s="23">
        <v>18.926974</v>
      </c>
      <c r="F57" s="24">
        <f t="shared" si="1"/>
        <v>0.0002661945791</v>
      </c>
      <c r="G57" s="17"/>
      <c r="H57" s="4"/>
      <c r="I57" s="29"/>
      <c r="J57" s="20" t="s">
        <v>93</v>
      </c>
      <c r="K57" s="21">
        <v>1.0</v>
      </c>
      <c r="L57" s="22">
        <v>14368.537</v>
      </c>
      <c r="M57" s="23">
        <v>14.368537</v>
      </c>
      <c r="N57" s="26">
        <f t="shared" si="2"/>
        <v>0.0002012618636</v>
      </c>
      <c r="O57" s="3"/>
      <c r="P57" s="20" t="s">
        <v>80</v>
      </c>
      <c r="Q57" s="14">
        <v>156.0</v>
      </c>
      <c r="R57" s="15">
        <v>382.967833333333</v>
      </c>
      <c r="S57" s="15">
        <v>59.742982</v>
      </c>
      <c r="T57" s="26">
        <f t="shared" si="3"/>
        <v>0.0008388423865</v>
      </c>
      <c r="V57" s="20" t="s">
        <v>80</v>
      </c>
      <c r="W57" s="21">
        <v>156.0</v>
      </c>
      <c r="X57" s="22">
        <v>367.201717948717</v>
      </c>
      <c r="Y57" s="23">
        <v>57.283468</v>
      </c>
      <c r="Z57" s="24">
        <f t="shared" si="4"/>
        <v>0.0007985784712</v>
      </c>
      <c r="AA57" s="17"/>
      <c r="AB57" s="4"/>
      <c r="AC57" s="29"/>
      <c r="AD57" s="20" t="s">
        <v>93</v>
      </c>
      <c r="AE57" s="21">
        <v>1.0</v>
      </c>
      <c r="AF57" s="22">
        <v>14377.111</v>
      </c>
      <c r="AG57" s="23">
        <v>14.377111</v>
      </c>
      <c r="AH57" s="26">
        <f t="shared" si="5"/>
        <v>0.0001994277321</v>
      </c>
      <c r="AI57" s="3"/>
      <c r="AJ57" s="20" t="s">
        <v>96</v>
      </c>
      <c r="AK57" s="14">
        <v>1031.0</v>
      </c>
      <c r="AL57" s="15">
        <v>5.32289233753637</v>
      </c>
      <c r="AM57" s="15">
        <v>5.487902</v>
      </c>
      <c r="AN57" s="26">
        <f t="shared" si="6"/>
        <v>0.00007637594432</v>
      </c>
      <c r="AP57" s="20" t="s">
        <v>96</v>
      </c>
      <c r="AQ57" s="21">
        <v>1031.0</v>
      </c>
      <c r="AR57" s="22">
        <v>5.48551891367604</v>
      </c>
      <c r="AS57" s="23">
        <v>5.65557</v>
      </c>
      <c r="AT57" s="26">
        <f t="shared" si="7"/>
        <v>0.00007868413338</v>
      </c>
      <c r="AU57" s="3"/>
      <c r="AV57" s="20" t="s">
        <v>76</v>
      </c>
      <c r="AW57" s="14">
        <v>225.0</v>
      </c>
      <c r="AX57" s="15">
        <v>75.9755333333333</v>
      </c>
      <c r="AY57" s="15">
        <v>17.094495</v>
      </c>
      <c r="AZ57" s="26">
        <f t="shared" si="8"/>
        <v>0.000239280318</v>
      </c>
    </row>
    <row r="58">
      <c r="B58" s="20" t="s">
        <v>76</v>
      </c>
      <c r="C58" s="21">
        <v>225.0</v>
      </c>
      <c r="D58" s="22">
        <v>75.9535377777777</v>
      </c>
      <c r="E58" s="23">
        <v>17.089546</v>
      </c>
      <c r="F58" s="24">
        <f t="shared" si="1"/>
        <v>0.0002403524464</v>
      </c>
      <c r="G58" s="17"/>
      <c r="H58" s="4"/>
      <c r="I58" s="29"/>
      <c r="J58" s="20" t="s">
        <v>97</v>
      </c>
      <c r="K58" s="21">
        <v>1024.0</v>
      </c>
      <c r="L58" s="22">
        <v>11.630376953125</v>
      </c>
      <c r="M58" s="23">
        <v>11.909506</v>
      </c>
      <c r="N58" s="26">
        <f t="shared" si="2"/>
        <v>0.0001668179142</v>
      </c>
      <c r="O58" s="3"/>
      <c r="P58" s="20" t="s">
        <v>85</v>
      </c>
      <c r="Q58" s="14">
        <v>1026.0</v>
      </c>
      <c r="R58" s="15">
        <v>55.8129493177387</v>
      </c>
      <c r="S58" s="15">
        <v>57.264086</v>
      </c>
      <c r="T58" s="26">
        <f t="shared" si="3"/>
        <v>0.0008040365739</v>
      </c>
      <c r="V58" s="20" t="s">
        <v>85</v>
      </c>
      <c r="W58" s="21">
        <v>1026.0</v>
      </c>
      <c r="X58" s="22">
        <v>55.5255331384015</v>
      </c>
      <c r="Y58" s="23">
        <v>56.969197</v>
      </c>
      <c r="Z58" s="24">
        <f t="shared" si="4"/>
        <v>0.000794197276</v>
      </c>
      <c r="AA58" s="17"/>
      <c r="AB58" s="4"/>
      <c r="AC58" s="29"/>
      <c r="AD58" s="20" t="s">
        <v>97</v>
      </c>
      <c r="AE58" s="21">
        <v>1024.0</v>
      </c>
      <c r="AF58" s="22">
        <v>12.204373046875</v>
      </c>
      <c r="AG58" s="23">
        <v>12.497278</v>
      </c>
      <c r="AH58" s="26">
        <f t="shared" si="5"/>
        <v>0.0001733521992</v>
      </c>
      <c r="AI58" s="3"/>
      <c r="AJ58" s="20" t="s">
        <v>98</v>
      </c>
      <c r="AK58" s="14">
        <v>1031.0</v>
      </c>
      <c r="AL58" s="15">
        <v>4.952</v>
      </c>
      <c r="AM58" s="15">
        <v>5.105512</v>
      </c>
      <c r="AN58" s="26">
        <f t="shared" si="6"/>
        <v>0.0000710541661</v>
      </c>
      <c r="AP58" s="20" t="s">
        <v>98</v>
      </c>
      <c r="AQ58" s="21">
        <v>1031.0</v>
      </c>
      <c r="AR58" s="22">
        <v>5.07814742967992</v>
      </c>
      <c r="AS58" s="23">
        <v>5.23557</v>
      </c>
      <c r="AT58" s="26">
        <f t="shared" si="7"/>
        <v>0.00007284080795</v>
      </c>
      <c r="AU58" s="3"/>
      <c r="AV58" s="20" t="s">
        <v>97</v>
      </c>
      <c r="AW58" s="14">
        <v>1024.0</v>
      </c>
      <c r="AX58" s="15">
        <v>13.9753740234375</v>
      </c>
      <c r="AY58" s="15">
        <v>14.310783</v>
      </c>
      <c r="AZ58" s="26">
        <f t="shared" si="8"/>
        <v>0.000200315289</v>
      </c>
    </row>
    <row r="59">
      <c r="B59" s="20" t="s">
        <v>97</v>
      </c>
      <c r="C59" s="21">
        <v>1024.0</v>
      </c>
      <c r="D59" s="22">
        <v>11.48341796875</v>
      </c>
      <c r="E59" s="23">
        <v>11.75902</v>
      </c>
      <c r="F59" s="24">
        <f t="shared" si="1"/>
        <v>0.0001653823469</v>
      </c>
      <c r="G59" s="17"/>
      <c r="H59" s="4"/>
      <c r="I59" s="29"/>
      <c r="J59" s="20" t="s">
        <v>95</v>
      </c>
      <c r="K59" s="21">
        <v>21.0</v>
      </c>
      <c r="L59" s="22">
        <v>510.444666666666</v>
      </c>
      <c r="M59" s="23">
        <v>10.719338</v>
      </c>
      <c r="N59" s="26">
        <f t="shared" si="2"/>
        <v>0.0001501470847</v>
      </c>
      <c r="O59" s="3"/>
      <c r="P59" s="20" t="s">
        <v>88</v>
      </c>
      <c r="Q59" s="14">
        <v>150.0</v>
      </c>
      <c r="R59" s="15">
        <v>297.594646666666</v>
      </c>
      <c r="S59" s="15">
        <v>44.639197</v>
      </c>
      <c r="T59" s="26">
        <f t="shared" si="3"/>
        <v>0.000626772372</v>
      </c>
      <c r="V59" s="20" t="s">
        <v>88</v>
      </c>
      <c r="W59" s="21">
        <v>149.0</v>
      </c>
      <c r="X59" s="22">
        <v>300.158919463087</v>
      </c>
      <c r="Y59" s="23">
        <v>44.723679</v>
      </c>
      <c r="Z59" s="24">
        <f t="shared" si="4"/>
        <v>0.0006234847234</v>
      </c>
      <c r="AA59" s="17"/>
      <c r="AB59" s="4"/>
      <c r="AC59" s="29"/>
      <c r="AD59" s="20" t="s">
        <v>95</v>
      </c>
      <c r="AE59" s="21">
        <v>21.0</v>
      </c>
      <c r="AF59" s="22">
        <v>539.448333333333</v>
      </c>
      <c r="AG59" s="23">
        <v>11.328415</v>
      </c>
      <c r="AH59" s="26">
        <f t="shared" si="5"/>
        <v>0.0001571386708</v>
      </c>
      <c r="AI59" s="3"/>
      <c r="AJ59" s="20" t="s">
        <v>99</v>
      </c>
      <c r="AK59" s="14">
        <v>1031.0</v>
      </c>
      <c r="AL59" s="15">
        <v>4.82414936954413</v>
      </c>
      <c r="AM59" s="15">
        <v>4.973698</v>
      </c>
      <c r="AN59" s="26">
        <f t="shared" si="6"/>
        <v>0.00006921969115</v>
      </c>
      <c r="AP59" s="20" t="s">
        <v>99</v>
      </c>
      <c r="AQ59" s="21">
        <v>1031.0</v>
      </c>
      <c r="AR59" s="22">
        <v>4.83998836081474</v>
      </c>
      <c r="AS59" s="23">
        <v>4.990028</v>
      </c>
      <c r="AT59" s="26">
        <f t="shared" si="7"/>
        <v>0.00006942466077</v>
      </c>
      <c r="AU59" s="3"/>
      <c r="AV59" s="20" t="s">
        <v>95</v>
      </c>
      <c r="AW59" s="14">
        <v>21.0</v>
      </c>
      <c r="AX59" s="15">
        <v>664.333619047619</v>
      </c>
      <c r="AY59" s="15">
        <v>13.951006</v>
      </c>
      <c r="AZ59" s="26">
        <f t="shared" si="8"/>
        <v>0.0001952793079</v>
      </c>
    </row>
    <row r="60">
      <c r="B60" s="20" t="s">
        <v>100</v>
      </c>
      <c r="C60" s="21">
        <v>1024.0</v>
      </c>
      <c r="D60" s="22">
        <v>9.713474609375</v>
      </c>
      <c r="E60" s="23">
        <v>9.946598</v>
      </c>
      <c r="F60" s="24">
        <f t="shared" si="1"/>
        <v>0.000139891906</v>
      </c>
      <c r="G60" s="17"/>
      <c r="H60" s="4"/>
      <c r="I60" s="29"/>
      <c r="J60" s="20" t="s">
        <v>100</v>
      </c>
      <c r="K60" s="21">
        <v>1024.0</v>
      </c>
      <c r="L60" s="22">
        <v>9.7139609375</v>
      </c>
      <c r="M60" s="23">
        <v>9.947096</v>
      </c>
      <c r="N60" s="26">
        <f t="shared" si="2"/>
        <v>0.0001393301961</v>
      </c>
      <c r="O60" s="3"/>
      <c r="P60" s="20" t="s">
        <v>93</v>
      </c>
      <c r="Q60" s="14">
        <v>2.0</v>
      </c>
      <c r="R60" s="15">
        <v>14334.627</v>
      </c>
      <c r="S60" s="15">
        <v>28.669254</v>
      </c>
      <c r="T60" s="26">
        <f t="shared" si="3"/>
        <v>0.0004025407611</v>
      </c>
      <c r="V60" s="20" t="s">
        <v>93</v>
      </c>
      <c r="W60" s="21">
        <v>2.0</v>
      </c>
      <c r="X60" s="22">
        <v>14365.774</v>
      </c>
      <c r="Y60" s="23">
        <v>28.731548</v>
      </c>
      <c r="Z60" s="24">
        <f t="shared" si="4"/>
        <v>0.0004005413163</v>
      </c>
      <c r="AA60" s="17"/>
      <c r="AB60" s="4"/>
      <c r="AC60" s="29"/>
      <c r="AD60" s="20" t="s">
        <v>100</v>
      </c>
      <c r="AE60" s="21">
        <v>1024.0</v>
      </c>
      <c r="AF60" s="22">
        <v>9.9726123046875</v>
      </c>
      <c r="AG60" s="23">
        <v>10.211955</v>
      </c>
      <c r="AH60" s="26">
        <f t="shared" si="5"/>
        <v>0.0001416520347</v>
      </c>
      <c r="AI60" s="3"/>
      <c r="AJ60" s="20" t="s">
        <v>101</v>
      </c>
      <c r="AK60" s="14">
        <v>675.0</v>
      </c>
      <c r="AL60" s="15">
        <v>7.0764237037037</v>
      </c>
      <c r="AM60" s="15">
        <v>4.776586</v>
      </c>
      <c r="AN60" s="26">
        <f t="shared" si="6"/>
        <v>0.00006647645427</v>
      </c>
      <c r="AP60" s="20" t="s">
        <v>101</v>
      </c>
      <c r="AQ60" s="21">
        <v>675.0</v>
      </c>
      <c r="AR60" s="22">
        <v>7.10674814814814</v>
      </c>
      <c r="AS60" s="23">
        <v>4.797055</v>
      </c>
      <c r="AT60" s="26">
        <f t="shared" si="7"/>
        <v>0.00006673988925</v>
      </c>
      <c r="AU60" s="3"/>
      <c r="AV60" s="20" t="s">
        <v>100</v>
      </c>
      <c r="AW60" s="14">
        <v>1024.0</v>
      </c>
      <c r="AX60" s="15">
        <v>9.9666044921875</v>
      </c>
      <c r="AY60" s="15">
        <v>10.205803</v>
      </c>
      <c r="AZ60" s="26">
        <f t="shared" si="8"/>
        <v>0.0001428558017</v>
      </c>
    </row>
    <row r="61">
      <c r="B61" s="20" t="s">
        <v>78</v>
      </c>
      <c r="C61" s="21">
        <v>2061.0</v>
      </c>
      <c r="D61" s="22">
        <v>4.25845220766618</v>
      </c>
      <c r="E61" s="23">
        <v>8.77667</v>
      </c>
      <c r="F61" s="24">
        <f t="shared" si="1"/>
        <v>0.0001234376914</v>
      </c>
      <c r="G61" s="17"/>
      <c r="H61" s="4"/>
      <c r="I61" s="29"/>
      <c r="J61" s="20" t="s">
        <v>78</v>
      </c>
      <c r="K61" s="21">
        <v>2061.0</v>
      </c>
      <c r="L61" s="22">
        <v>4.37056331877729</v>
      </c>
      <c r="M61" s="23">
        <v>9.007731</v>
      </c>
      <c r="N61" s="26">
        <f t="shared" si="2"/>
        <v>0.0001261723951</v>
      </c>
      <c r="O61" s="3"/>
      <c r="P61" s="20" t="s">
        <v>95</v>
      </c>
      <c r="Q61" s="14">
        <v>42.0</v>
      </c>
      <c r="R61" s="15">
        <v>525.252928571428</v>
      </c>
      <c r="S61" s="15">
        <v>22.060623</v>
      </c>
      <c r="T61" s="26">
        <f t="shared" si="3"/>
        <v>0.0003097499493</v>
      </c>
      <c r="V61" s="20" t="s">
        <v>95</v>
      </c>
      <c r="W61" s="21">
        <v>42.0</v>
      </c>
      <c r="X61" s="22">
        <v>511.497119047619</v>
      </c>
      <c r="Y61" s="23">
        <v>21.482879</v>
      </c>
      <c r="Z61" s="24">
        <f t="shared" si="4"/>
        <v>0.0002994889323</v>
      </c>
      <c r="AA61" s="17"/>
      <c r="AB61" s="4"/>
      <c r="AC61" s="29"/>
      <c r="AD61" s="20" t="s">
        <v>78</v>
      </c>
      <c r="AE61" s="21">
        <v>2061.0</v>
      </c>
      <c r="AF61" s="22">
        <v>4.44139640950994</v>
      </c>
      <c r="AG61" s="23">
        <v>9.153718</v>
      </c>
      <c r="AH61" s="26">
        <f t="shared" si="5"/>
        <v>0.0001269730213</v>
      </c>
      <c r="AI61" s="3"/>
      <c r="AJ61" s="20" t="s">
        <v>102</v>
      </c>
      <c r="AK61" s="14">
        <v>1031.0</v>
      </c>
      <c r="AL61" s="15">
        <v>4.41664112512124</v>
      </c>
      <c r="AM61" s="15">
        <v>4.553557</v>
      </c>
      <c r="AN61" s="26">
        <f t="shared" si="6"/>
        <v>0.00006337252667</v>
      </c>
      <c r="AP61" s="20" t="s">
        <v>103</v>
      </c>
      <c r="AQ61" s="21">
        <v>1022.0</v>
      </c>
      <c r="AR61" s="22">
        <v>4.42017123287671</v>
      </c>
      <c r="AS61" s="23">
        <v>4.517415</v>
      </c>
      <c r="AT61" s="26">
        <f t="shared" si="7"/>
        <v>0.00006284934753</v>
      </c>
      <c r="AU61" s="3"/>
      <c r="AV61" s="20" t="s">
        <v>77</v>
      </c>
      <c r="AW61" s="14">
        <v>2068.0</v>
      </c>
      <c r="AX61" s="15">
        <v>4.36793036750483</v>
      </c>
      <c r="AY61" s="15">
        <v>9.03288</v>
      </c>
      <c r="AZ61" s="26">
        <f t="shared" si="8"/>
        <v>0.0001264378034</v>
      </c>
    </row>
    <row r="62">
      <c r="B62" s="20" t="s">
        <v>77</v>
      </c>
      <c r="C62" s="21">
        <v>2068.0</v>
      </c>
      <c r="D62" s="22">
        <v>4.22345889748549</v>
      </c>
      <c r="E62" s="23">
        <v>8.734113</v>
      </c>
      <c r="F62" s="24">
        <f t="shared" si="1"/>
        <v>0.0001228391572</v>
      </c>
      <c r="G62" s="17"/>
      <c r="H62" s="4"/>
      <c r="I62" s="29"/>
      <c r="J62" s="20" t="s">
        <v>77</v>
      </c>
      <c r="K62" s="21">
        <v>2068.0</v>
      </c>
      <c r="L62" s="22">
        <v>4.34147388781431</v>
      </c>
      <c r="M62" s="23">
        <v>8.978168</v>
      </c>
      <c r="N62" s="26">
        <f t="shared" si="2"/>
        <v>0.0001257583026</v>
      </c>
      <c r="O62" s="3"/>
      <c r="P62" s="20" t="s">
        <v>76</v>
      </c>
      <c r="Q62" s="14">
        <v>225.0</v>
      </c>
      <c r="R62" s="15">
        <v>89.3252177777777</v>
      </c>
      <c r="S62" s="15">
        <v>20.098174</v>
      </c>
      <c r="T62" s="26">
        <f t="shared" si="3"/>
        <v>0.0002821954927</v>
      </c>
      <c r="V62" s="20" t="s">
        <v>76</v>
      </c>
      <c r="W62" s="21">
        <v>225.0</v>
      </c>
      <c r="X62" s="22">
        <v>86.4830755555555</v>
      </c>
      <c r="Y62" s="23">
        <v>19.458692</v>
      </c>
      <c r="Z62" s="24">
        <f t="shared" si="4"/>
        <v>0.0002712701073</v>
      </c>
      <c r="AA62" s="17"/>
      <c r="AB62" s="4"/>
      <c r="AC62" s="29"/>
      <c r="AD62" s="20" t="s">
        <v>77</v>
      </c>
      <c r="AE62" s="21">
        <v>2068.0</v>
      </c>
      <c r="AF62" s="22">
        <v>4.3907325918762</v>
      </c>
      <c r="AG62" s="23">
        <v>9.080035</v>
      </c>
      <c r="AH62" s="26">
        <f t="shared" si="5"/>
        <v>0.0001259509499</v>
      </c>
      <c r="AI62" s="3"/>
      <c r="AJ62" s="20" t="s">
        <v>103</v>
      </c>
      <c r="AK62" s="14">
        <v>1022.0</v>
      </c>
      <c r="AL62" s="15">
        <v>4.38487279843444</v>
      </c>
      <c r="AM62" s="15">
        <v>4.48134</v>
      </c>
      <c r="AN62" s="26">
        <f t="shared" si="6"/>
        <v>0.000062367472</v>
      </c>
      <c r="AP62" s="20" t="s">
        <v>102</v>
      </c>
      <c r="AQ62" s="21">
        <v>1031.0</v>
      </c>
      <c r="AR62" s="22">
        <v>4.31787390882638</v>
      </c>
      <c r="AS62" s="23">
        <v>4.451728</v>
      </c>
      <c r="AT62" s="26">
        <f t="shared" si="7"/>
        <v>0.00006193546534</v>
      </c>
      <c r="AU62" s="3"/>
      <c r="AV62" s="20" t="s">
        <v>78</v>
      </c>
      <c r="AW62" s="14">
        <v>2061.0</v>
      </c>
      <c r="AX62" s="15">
        <v>4.36177001455604</v>
      </c>
      <c r="AY62" s="15">
        <v>8.989608</v>
      </c>
      <c r="AZ62" s="26">
        <f t="shared" si="8"/>
        <v>0.0001258321033</v>
      </c>
    </row>
    <row r="63">
      <c r="B63" s="20" t="s">
        <v>104</v>
      </c>
      <c r="C63" s="21">
        <v>2048.0</v>
      </c>
      <c r="D63" s="22">
        <v>4.1977158203125</v>
      </c>
      <c r="E63" s="23">
        <v>8.596922</v>
      </c>
      <c r="F63" s="24">
        <f t="shared" si="1"/>
        <v>0.0001209096622</v>
      </c>
      <c r="G63" s="17"/>
      <c r="H63" s="4"/>
      <c r="I63" s="29"/>
      <c r="J63" s="20" t="s">
        <v>104</v>
      </c>
      <c r="K63" s="21">
        <v>2048.0</v>
      </c>
      <c r="L63" s="22">
        <v>4.2685380859375</v>
      </c>
      <c r="M63" s="23">
        <v>8.741966</v>
      </c>
      <c r="N63" s="26">
        <f t="shared" si="2"/>
        <v>0.0001224497921</v>
      </c>
      <c r="O63" s="3"/>
      <c r="P63" s="20" t="s">
        <v>105</v>
      </c>
      <c r="Q63" s="14">
        <v>1026.0</v>
      </c>
      <c r="R63" s="15">
        <v>17.4616208576998</v>
      </c>
      <c r="S63" s="15">
        <v>17.915623</v>
      </c>
      <c r="T63" s="26">
        <f t="shared" si="3"/>
        <v>0.0002515506165</v>
      </c>
      <c r="V63" s="20" t="s">
        <v>105</v>
      </c>
      <c r="W63" s="21">
        <v>1026.0</v>
      </c>
      <c r="X63" s="22">
        <v>17.4475565302144</v>
      </c>
      <c r="Y63" s="23">
        <v>17.901193</v>
      </c>
      <c r="Z63" s="24">
        <f t="shared" si="4"/>
        <v>0.0002495572953</v>
      </c>
      <c r="AA63" s="17"/>
      <c r="AB63" s="4"/>
      <c r="AC63" s="29"/>
      <c r="AD63" s="20" t="s">
        <v>104</v>
      </c>
      <c r="AE63" s="21">
        <v>2048.0</v>
      </c>
      <c r="AF63" s="22">
        <v>4.36847021484375</v>
      </c>
      <c r="AG63" s="23">
        <v>8.946627</v>
      </c>
      <c r="AH63" s="26">
        <f t="shared" si="5"/>
        <v>0.0001241004214</v>
      </c>
      <c r="AI63" s="3"/>
      <c r="AJ63" s="20" t="s">
        <v>106</v>
      </c>
      <c r="AK63" s="14">
        <v>1033.0</v>
      </c>
      <c r="AL63" s="15">
        <v>4.26505808325266</v>
      </c>
      <c r="AM63" s="15">
        <v>4.405805</v>
      </c>
      <c r="AN63" s="26">
        <f t="shared" si="6"/>
        <v>0.00006131624022</v>
      </c>
      <c r="AP63" s="20" t="s">
        <v>107</v>
      </c>
      <c r="AQ63" s="21">
        <v>1031.0</v>
      </c>
      <c r="AR63" s="22">
        <v>4.27398448108632</v>
      </c>
      <c r="AS63" s="23">
        <v>4.406478</v>
      </c>
      <c r="AT63" s="26">
        <f t="shared" si="7"/>
        <v>0.00006130591659</v>
      </c>
      <c r="AU63" s="3"/>
      <c r="AV63" s="20" t="s">
        <v>104</v>
      </c>
      <c r="AW63" s="14">
        <v>2048.0</v>
      </c>
      <c r="AX63" s="15">
        <v>4.31844287109375</v>
      </c>
      <c r="AY63" s="15">
        <v>8.844171</v>
      </c>
      <c r="AZ63" s="26">
        <f t="shared" si="8"/>
        <v>0.0001237963478</v>
      </c>
    </row>
    <row r="64">
      <c r="B64" s="20" t="s">
        <v>108</v>
      </c>
      <c r="C64" s="21">
        <v>75.0</v>
      </c>
      <c r="D64" s="22">
        <v>99.8364266666666</v>
      </c>
      <c r="E64" s="23">
        <v>7.487732</v>
      </c>
      <c r="F64" s="24">
        <f t="shared" si="1"/>
        <v>0.0001053096849</v>
      </c>
      <c r="G64" s="17"/>
      <c r="H64" s="4"/>
      <c r="I64" s="29"/>
      <c r="J64" s="20" t="s">
        <v>87</v>
      </c>
      <c r="K64" s="21">
        <v>1031.0</v>
      </c>
      <c r="L64" s="22">
        <v>7.25191367604267</v>
      </c>
      <c r="M64" s="23">
        <v>7.476723</v>
      </c>
      <c r="N64" s="26">
        <f t="shared" si="2"/>
        <v>0.0001047273779</v>
      </c>
      <c r="O64" s="3"/>
      <c r="P64" s="20" t="s">
        <v>97</v>
      </c>
      <c r="Q64" s="14">
        <v>1026.0</v>
      </c>
      <c r="R64" s="15">
        <v>11.5569298245614</v>
      </c>
      <c r="S64" s="15">
        <v>11.85741</v>
      </c>
      <c r="T64" s="26">
        <f t="shared" si="3"/>
        <v>0.0001664881425</v>
      </c>
      <c r="V64" s="20" t="s">
        <v>97</v>
      </c>
      <c r="W64" s="21">
        <v>1026.0</v>
      </c>
      <c r="X64" s="22">
        <v>12.4413148148148</v>
      </c>
      <c r="Y64" s="23">
        <v>12.764789</v>
      </c>
      <c r="Z64" s="24">
        <f t="shared" si="4"/>
        <v>0.0001779516157</v>
      </c>
      <c r="AA64" s="17"/>
      <c r="AB64" s="4"/>
      <c r="AC64" s="29"/>
      <c r="AD64" s="20" t="s">
        <v>87</v>
      </c>
      <c r="AE64" s="21">
        <v>1031.0</v>
      </c>
      <c r="AF64" s="22">
        <v>7.63884287099903</v>
      </c>
      <c r="AG64" s="23">
        <v>7.875647</v>
      </c>
      <c r="AH64" s="26">
        <f t="shared" si="5"/>
        <v>0.0001092446473</v>
      </c>
      <c r="AI64" s="3"/>
      <c r="AJ64" s="20" t="s">
        <v>107</v>
      </c>
      <c r="AK64" s="14">
        <v>1031.0</v>
      </c>
      <c r="AL64" s="15">
        <v>4.20824830261881</v>
      </c>
      <c r="AM64" s="15">
        <v>4.338704</v>
      </c>
      <c r="AN64" s="26">
        <f t="shared" si="6"/>
        <v>0.00006038238568</v>
      </c>
      <c r="AP64" s="20" t="s">
        <v>109</v>
      </c>
      <c r="AQ64" s="21">
        <v>1031.0</v>
      </c>
      <c r="AR64" s="22">
        <v>4.1757158098933</v>
      </c>
      <c r="AS64" s="23">
        <v>4.305163</v>
      </c>
      <c r="AT64" s="26">
        <f t="shared" si="7"/>
        <v>0.00005989635346</v>
      </c>
      <c r="AU64" s="3"/>
      <c r="AV64" s="20" t="s">
        <v>87</v>
      </c>
      <c r="AW64" s="14">
        <v>1031.0</v>
      </c>
      <c r="AX64" s="15">
        <v>8.42844325897187</v>
      </c>
      <c r="AY64" s="15">
        <v>8.689725</v>
      </c>
      <c r="AZ64" s="26">
        <f t="shared" si="8"/>
        <v>0.0001216344888</v>
      </c>
    </row>
    <row r="65">
      <c r="B65" s="20" t="s">
        <v>87</v>
      </c>
      <c r="C65" s="21">
        <v>1031.0</v>
      </c>
      <c r="D65" s="22">
        <v>7.25624151309408</v>
      </c>
      <c r="E65" s="23">
        <v>7.481185</v>
      </c>
      <c r="F65" s="24">
        <f t="shared" si="1"/>
        <v>0.000105217606</v>
      </c>
      <c r="G65" s="17"/>
      <c r="H65" s="4"/>
      <c r="I65" s="29"/>
      <c r="J65" s="20" t="s">
        <v>110</v>
      </c>
      <c r="K65" s="21">
        <v>1024.0</v>
      </c>
      <c r="L65" s="22">
        <v>7.2133046875</v>
      </c>
      <c r="M65" s="23">
        <v>7.386424</v>
      </c>
      <c r="N65" s="26">
        <f t="shared" si="2"/>
        <v>0.0001034625487</v>
      </c>
      <c r="O65" s="3"/>
      <c r="P65" s="20" t="s">
        <v>100</v>
      </c>
      <c r="Q65" s="14">
        <v>1026.0</v>
      </c>
      <c r="R65" s="15">
        <v>10.9769590643274</v>
      </c>
      <c r="S65" s="15">
        <v>11.26236</v>
      </c>
      <c r="T65" s="26">
        <f t="shared" si="3"/>
        <v>0.0001581331334</v>
      </c>
      <c r="V65" s="20" t="s">
        <v>100</v>
      </c>
      <c r="W65" s="21">
        <v>1026.0</v>
      </c>
      <c r="X65" s="22">
        <v>11.8371384015594</v>
      </c>
      <c r="Y65" s="23">
        <v>12.144904</v>
      </c>
      <c r="Z65" s="24">
        <f t="shared" si="4"/>
        <v>0.000169309911</v>
      </c>
      <c r="AA65" s="17"/>
      <c r="AB65" s="4"/>
      <c r="AC65" s="29"/>
      <c r="AD65" s="20" t="s">
        <v>111</v>
      </c>
      <c r="AE65" s="21">
        <v>1024.0</v>
      </c>
      <c r="AF65" s="22">
        <v>7.60035546875</v>
      </c>
      <c r="AG65" s="23">
        <v>7.782764</v>
      </c>
      <c r="AH65" s="26">
        <f t="shared" si="5"/>
        <v>0.000107956249</v>
      </c>
      <c r="AI65" s="3"/>
      <c r="AJ65" s="20" t="s">
        <v>109</v>
      </c>
      <c r="AK65" s="14">
        <v>1031.0</v>
      </c>
      <c r="AL65" s="15">
        <v>4.19438215324927</v>
      </c>
      <c r="AM65" s="15">
        <v>4.324408</v>
      </c>
      <c r="AN65" s="26">
        <f t="shared" si="6"/>
        <v>0.00006018342613</v>
      </c>
      <c r="AP65" s="20" t="s">
        <v>106</v>
      </c>
      <c r="AQ65" s="21">
        <v>1033.0</v>
      </c>
      <c r="AR65" s="22">
        <v>4.11021587608906</v>
      </c>
      <c r="AS65" s="23">
        <v>4.245853</v>
      </c>
      <c r="AT65" s="26">
        <f t="shared" si="7"/>
        <v>0.00005907119243</v>
      </c>
      <c r="AU65" s="3"/>
      <c r="AV65" s="20" t="s">
        <v>92</v>
      </c>
      <c r="AW65" s="14">
        <v>1031.0</v>
      </c>
      <c r="AX65" s="15">
        <v>7.53397090203685</v>
      </c>
      <c r="AY65" s="15">
        <v>7.767524</v>
      </c>
      <c r="AZ65" s="26">
        <f t="shared" si="8"/>
        <v>0.0001087259736</v>
      </c>
    </row>
    <row r="66">
      <c r="B66" s="20" t="s">
        <v>110</v>
      </c>
      <c r="C66" s="21">
        <v>1024.0</v>
      </c>
      <c r="D66" s="22">
        <v>7.2594765625</v>
      </c>
      <c r="E66" s="23">
        <v>7.433704</v>
      </c>
      <c r="F66" s="24">
        <f t="shared" si="1"/>
        <v>0.0001045498191</v>
      </c>
      <c r="G66" s="17"/>
      <c r="H66" s="4"/>
      <c r="I66" s="29"/>
      <c r="J66" s="20" t="s">
        <v>112</v>
      </c>
      <c r="K66" s="21">
        <v>1024.0</v>
      </c>
      <c r="L66" s="22">
        <v>6.924455078125</v>
      </c>
      <c r="M66" s="23">
        <v>7.090642</v>
      </c>
      <c r="N66" s="26">
        <f t="shared" si="2"/>
        <v>0.00009931949392</v>
      </c>
      <c r="O66" s="3"/>
      <c r="P66" s="20" t="s">
        <v>108</v>
      </c>
      <c r="Q66" s="14">
        <v>150.0</v>
      </c>
      <c r="R66" s="15">
        <v>72.4715733333333</v>
      </c>
      <c r="S66" s="15">
        <v>10.870736</v>
      </c>
      <c r="T66" s="26">
        <f t="shared" si="3"/>
        <v>0.0001526343986</v>
      </c>
      <c r="V66" s="20" t="s">
        <v>108</v>
      </c>
      <c r="W66" s="21">
        <v>150.0</v>
      </c>
      <c r="X66" s="22">
        <v>72.4950533333333</v>
      </c>
      <c r="Y66" s="23">
        <v>10.874258</v>
      </c>
      <c r="Z66" s="24">
        <f t="shared" si="4"/>
        <v>0.0001515960648</v>
      </c>
      <c r="AA66" s="17"/>
      <c r="AB66" s="4"/>
      <c r="AC66" s="29"/>
      <c r="AD66" s="20" t="s">
        <v>110</v>
      </c>
      <c r="AE66" s="21">
        <v>1024.0</v>
      </c>
      <c r="AF66" s="22">
        <v>7.221529296875</v>
      </c>
      <c r="AG66" s="23">
        <v>7.394846</v>
      </c>
      <c r="AH66" s="26">
        <f t="shared" si="5"/>
        <v>0.0001025753621</v>
      </c>
      <c r="AI66" s="3"/>
      <c r="AJ66" s="20" t="s">
        <v>113</v>
      </c>
      <c r="AK66" s="14">
        <v>864.0</v>
      </c>
      <c r="AL66" s="15">
        <v>4.8531724537037</v>
      </c>
      <c r="AM66" s="15">
        <v>4.193141</v>
      </c>
      <c r="AN66" s="26">
        <f t="shared" si="6"/>
        <v>0.00005835656386</v>
      </c>
      <c r="AP66" s="20" t="s">
        <v>113</v>
      </c>
      <c r="AQ66" s="21">
        <v>864.0</v>
      </c>
      <c r="AR66" s="22">
        <v>4.77900578703703</v>
      </c>
      <c r="AS66" s="23">
        <v>4.129061</v>
      </c>
      <c r="AT66" s="26">
        <f t="shared" si="7"/>
        <v>0.00005744630275</v>
      </c>
      <c r="AU66" s="3"/>
      <c r="AV66" s="20" t="s">
        <v>110</v>
      </c>
      <c r="AW66" s="14">
        <v>1024.0</v>
      </c>
      <c r="AX66" s="15">
        <v>7.2425078125</v>
      </c>
      <c r="AY66" s="15">
        <v>7.416328</v>
      </c>
      <c r="AZ66" s="26">
        <f t="shared" si="8"/>
        <v>0.0001038101051</v>
      </c>
    </row>
    <row r="67">
      <c r="B67" s="20" t="s">
        <v>94</v>
      </c>
      <c r="C67" s="21">
        <v>1031.0</v>
      </c>
      <c r="D67" s="22">
        <v>6.77984287099903</v>
      </c>
      <c r="E67" s="23">
        <v>6.990018</v>
      </c>
      <c r="F67" s="24">
        <f t="shared" si="1"/>
        <v>0.00009830968751</v>
      </c>
      <c r="G67" s="17"/>
      <c r="H67" s="4"/>
      <c r="I67" s="29"/>
      <c r="J67" s="20" t="s">
        <v>92</v>
      </c>
      <c r="K67" s="21">
        <v>1031.0</v>
      </c>
      <c r="L67" s="22">
        <v>6.83362366634335</v>
      </c>
      <c r="M67" s="23">
        <v>7.045466</v>
      </c>
      <c r="N67" s="26">
        <f t="shared" si="2"/>
        <v>0.00009868670813</v>
      </c>
      <c r="O67" s="3"/>
      <c r="P67" s="20" t="s">
        <v>77</v>
      </c>
      <c r="Q67" s="14">
        <v>2065.0</v>
      </c>
      <c r="R67" s="15">
        <v>4.30094818401937</v>
      </c>
      <c r="S67" s="15">
        <v>8.881458</v>
      </c>
      <c r="T67" s="26">
        <f t="shared" si="3"/>
        <v>0.00012470324</v>
      </c>
      <c r="V67" s="20" t="s">
        <v>77</v>
      </c>
      <c r="W67" s="21">
        <v>2065.0</v>
      </c>
      <c r="X67" s="22">
        <v>4.38382711864406</v>
      </c>
      <c r="Y67" s="23">
        <v>9.052603</v>
      </c>
      <c r="Z67" s="24">
        <f t="shared" si="4"/>
        <v>0.0001262007018</v>
      </c>
      <c r="AA67" s="17"/>
      <c r="AB67" s="4"/>
      <c r="AC67" s="29"/>
      <c r="AD67" s="20" t="s">
        <v>92</v>
      </c>
      <c r="AE67" s="21">
        <v>1031.0</v>
      </c>
      <c r="AF67" s="22">
        <v>6.73869350145489</v>
      </c>
      <c r="AG67" s="23">
        <v>6.947593</v>
      </c>
      <c r="AH67" s="26">
        <f t="shared" si="5"/>
        <v>0.00009637142788</v>
      </c>
      <c r="AI67" s="3"/>
      <c r="AJ67" s="20" t="s">
        <v>114</v>
      </c>
      <c r="AK67" s="14">
        <v>450.0</v>
      </c>
      <c r="AL67" s="15">
        <v>8.99935777777777</v>
      </c>
      <c r="AM67" s="15">
        <v>4.049711</v>
      </c>
      <c r="AN67" s="26">
        <f t="shared" si="6"/>
        <v>0.00005636042732</v>
      </c>
      <c r="AP67" s="20" t="s">
        <v>114</v>
      </c>
      <c r="AQ67" s="21">
        <v>450.0</v>
      </c>
      <c r="AR67" s="22">
        <v>9.10492444444444</v>
      </c>
      <c r="AS67" s="23">
        <v>4.097216</v>
      </c>
      <c r="AT67" s="26">
        <f t="shared" si="7"/>
        <v>0.00005700325347</v>
      </c>
      <c r="AU67" s="3"/>
      <c r="AV67" s="20" t="s">
        <v>112</v>
      </c>
      <c r="AW67" s="14">
        <v>1024.0</v>
      </c>
      <c r="AX67" s="15">
        <v>6.872638671875</v>
      </c>
      <c r="AY67" s="15">
        <v>7.037582</v>
      </c>
      <c r="AZ67" s="26">
        <f t="shared" si="8"/>
        <v>0.00009850860519</v>
      </c>
    </row>
    <row r="68">
      <c r="B68" s="20" t="s">
        <v>112</v>
      </c>
      <c r="C68" s="21">
        <v>1024.0</v>
      </c>
      <c r="D68" s="22">
        <v>6.7728505859375</v>
      </c>
      <c r="E68" s="23">
        <v>6.935399</v>
      </c>
      <c r="F68" s="24">
        <f t="shared" si="1"/>
        <v>0.00009754150968</v>
      </c>
      <c r="G68" s="17"/>
      <c r="H68" s="4"/>
      <c r="I68" s="29"/>
      <c r="J68" s="20" t="s">
        <v>94</v>
      </c>
      <c r="K68" s="21">
        <v>1031.0</v>
      </c>
      <c r="L68" s="22">
        <v>6.51290882638215</v>
      </c>
      <c r="M68" s="23">
        <v>6.714809</v>
      </c>
      <c r="N68" s="26">
        <f t="shared" si="2"/>
        <v>0.0000940551549</v>
      </c>
      <c r="O68" s="3"/>
      <c r="P68" s="20" t="s">
        <v>78</v>
      </c>
      <c r="Q68" s="14">
        <v>2061.0</v>
      </c>
      <c r="R68" s="15">
        <v>4.25299466278505</v>
      </c>
      <c r="S68" s="15">
        <v>8.765422</v>
      </c>
      <c r="T68" s="26">
        <f t="shared" si="3"/>
        <v>0.0001230739957</v>
      </c>
      <c r="V68" s="20" t="s">
        <v>78</v>
      </c>
      <c r="W68" s="21">
        <v>2061.0</v>
      </c>
      <c r="X68" s="22">
        <v>4.31558757884522</v>
      </c>
      <c r="Y68" s="23">
        <v>8.894426</v>
      </c>
      <c r="Z68" s="24">
        <f t="shared" si="4"/>
        <v>0.0001239955849</v>
      </c>
      <c r="AA68" s="17"/>
      <c r="AB68" s="4"/>
      <c r="AC68" s="29"/>
      <c r="AD68" s="20" t="s">
        <v>112</v>
      </c>
      <c r="AE68" s="21">
        <v>1024.0</v>
      </c>
      <c r="AF68" s="22">
        <v>6.740162109375</v>
      </c>
      <c r="AG68" s="23">
        <v>6.901926</v>
      </c>
      <c r="AH68" s="26">
        <f t="shared" si="5"/>
        <v>0.00009573797195</v>
      </c>
      <c r="AI68" s="3"/>
      <c r="AJ68" s="20" t="s">
        <v>115</v>
      </c>
      <c r="AK68" s="14">
        <v>225.0</v>
      </c>
      <c r="AL68" s="15">
        <v>5.93087111111111</v>
      </c>
      <c r="AM68" s="15">
        <v>1.334446</v>
      </c>
      <c r="AN68" s="26">
        <f t="shared" si="6"/>
        <v>0.00001857168247</v>
      </c>
      <c r="AP68" s="20" t="s">
        <v>116</v>
      </c>
      <c r="AQ68" s="21">
        <v>225.0</v>
      </c>
      <c r="AR68" s="22">
        <v>15.2815377777777</v>
      </c>
      <c r="AS68" s="23">
        <v>3.438346</v>
      </c>
      <c r="AT68" s="26">
        <f t="shared" si="7"/>
        <v>0.00004783660626</v>
      </c>
      <c r="AU68" s="3"/>
      <c r="AV68" s="20" t="s">
        <v>117</v>
      </c>
      <c r="AW68" s="14">
        <v>21.0</v>
      </c>
      <c r="AX68" s="15">
        <v>333.264285714285</v>
      </c>
      <c r="AY68" s="15">
        <v>6.99855</v>
      </c>
      <c r="AZ68" s="26">
        <f t="shared" si="8"/>
        <v>0.00009796225448</v>
      </c>
    </row>
    <row r="69">
      <c r="B69" s="20" t="s">
        <v>118</v>
      </c>
      <c r="C69" s="21">
        <v>1024.0</v>
      </c>
      <c r="D69" s="22">
        <v>6.701310546875</v>
      </c>
      <c r="E69" s="23">
        <v>6.862142</v>
      </c>
      <c r="F69" s="24">
        <f t="shared" si="1"/>
        <v>0.0000965112015</v>
      </c>
      <c r="G69" s="17"/>
      <c r="H69" s="4"/>
      <c r="I69" s="29"/>
      <c r="J69" s="20" t="s">
        <v>118</v>
      </c>
      <c r="K69" s="21">
        <v>1024.0</v>
      </c>
      <c r="L69" s="22">
        <v>6.453474609375</v>
      </c>
      <c r="M69" s="23">
        <v>6.608358</v>
      </c>
      <c r="N69" s="26">
        <f t="shared" si="2"/>
        <v>0.00009256408266</v>
      </c>
      <c r="O69" s="3"/>
      <c r="P69" s="20" t="s">
        <v>104</v>
      </c>
      <c r="Q69" s="14">
        <v>2052.0</v>
      </c>
      <c r="R69" s="15">
        <v>4.16990497076023</v>
      </c>
      <c r="S69" s="15">
        <v>8.556645</v>
      </c>
      <c r="T69" s="26">
        <f t="shared" si="3"/>
        <v>0.0001201425887</v>
      </c>
      <c r="V69" s="20" t="s">
        <v>104</v>
      </c>
      <c r="W69" s="21">
        <v>2052.0</v>
      </c>
      <c r="X69" s="22">
        <v>4.30325487329434</v>
      </c>
      <c r="Y69" s="23">
        <v>8.830279</v>
      </c>
      <c r="Z69" s="24">
        <f t="shared" si="4"/>
        <v>0.0001231013231</v>
      </c>
      <c r="AA69" s="17"/>
      <c r="AB69" s="4"/>
      <c r="AC69" s="29"/>
      <c r="AD69" s="20" t="s">
        <v>94</v>
      </c>
      <c r="AE69" s="21">
        <v>1031.0</v>
      </c>
      <c r="AF69" s="22">
        <v>6.64258292919495</v>
      </c>
      <c r="AG69" s="23">
        <v>6.848503</v>
      </c>
      <c r="AH69" s="26">
        <f t="shared" si="5"/>
        <v>0.00009499693102</v>
      </c>
      <c r="AI69" s="3"/>
      <c r="AJ69" s="20" t="s">
        <v>119</v>
      </c>
      <c r="AK69" s="14">
        <v>225.0</v>
      </c>
      <c r="AL69" s="15">
        <v>5.61146666666666</v>
      </c>
      <c r="AM69" s="15">
        <v>1.26258</v>
      </c>
      <c r="AN69" s="26">
        <f t="shared" si="6"/>
        <v>0.00001757151272</v>
      </c>
      <c r="AP69" s="20" t="s">
        <v>115</v>
      </c>
      <c r="AQ69" s="21">
        <v>225.0</v>
      </c>
      <c r="AR69" s="22">
        <v>5.90521777777777</v>
      </c>
      <c r="AS69" s="23">
        <v>1.328674</v>
      </c>
      <c r="AT69" s="26">
        <f t="shared" si="7"/>
        <v>0.00001848541566</v>
      </c>
      <c r="AU69" s="3"/>
      <c r="AV69" s="20" t="s">
        <v>118</v>
      </c>
      <c r="AW69" s="14">
        <v>1024.0</v>
      </c>
      <c r="AX69" s="15">
        <v>6.562537109375</v>
      </c>
      <c r="AY69" s="15">
        <v>6.720038</v>
      </c>
      <c r="AZ69" s="26">
        <f t="shared" si="8"/>
        <v>0.00009406378074</v>
      </c>
    </row>
    <row r="70">
      <c r="B70" s="20" t="s">
        <v>92</v>
      </c>
      <c r="C70" s="21">
        <v>1031.0</v>
      </c>
      <c r="D70" s="22">
        <v>6.59236954413191</v>
      </c>
      <c r="E70" s="23">
        <v>6.796733</v>
      </c>
      <c r="F70" s="24">
        <f t="shared" si="1"/>
        <v>0.00009559126991</v>
      </c>
      <c r="G70" s="17"/>
      <c r="H70" s="4"/>
      <c r="I70" s="29"/>
      <c r="J70" s="20" t="s">
        <v>120</v>
      </c>
      <c r="K70" s="21">
        <v>1024.0</v>
      </c>
      <c r="L70" s="22">
        <v>6.195685546875</v>
      </c>
      <c r="M70" s="23">
        <v>6.344382</v>
      </c>
      <c r="N70" s="26">
        <f t="shared" si="2"/>
        <v>0.00008886653838</v>
      </c>
      <c r="O70" s="3"/>
      <c r="P70" s="20" t="s">
        <v>117</v>
      </c>
      <c r="Q70" s="14">
        <v>42.0</v>
      </c>
      <c r="R70" s="15">
        <v>195.547642857142</v>
      </c>
      <c r="S70" s="15">
        <v>8.213001</v>
      </c>
      <c r="T70" s="26">
        <f t="shared" si="3"/>
        <v>0.000115317534</v>
      </c>
      <c r="V70" s="20" t="s">
        <v>117</v>
      </c>
      <c r="W70" s="21">
        <v>42.0</v>
      </c>
      <c r="X70" s="22">
        <v>198.36619047619</v>
      </c>
      <c r="Y70" s="23">
        <v>8.33138</v>
      </c>
      <c r="Z70" s="24">
        <f t="shared" si="4"/>
        <v>0.0001161462624</v>
      </c>
      <c r="AA70" s="17"/>
      <c r="AB70" s="4"/>
      <c r="AC70" s="29"/>
      <c r="AD70" s="20" t="s">
        <v>118</v>
      </c>
      <c r="AE70" s="21">
        <v>1024.0</v>
      </c>
      <c r="AF70" s="22">
        <v>6.533423828125</v>
      </c>
      <c r="AG70" s="23">
        <v>6.690226</v>
      </c>
      <c r="AH70" s="26">
        <f t="shared" si="5"/>
        <v>0.00009280143965</v>
      </c>
      <c r="AI70" s="3"/>
      <c r="AJ70" s="20" t="s">
        <v>116</v>
      </c>
      <c r="AK70" s="14">
        <v>225.0</v>
      </c>
      <c r="AL70" s="15">
        <v>4.78336888888888</v>
      </c>
      <c r="AM70" s="15">
        <v>1.076258</v>
      </c>
      <c r="AN70" s="26">
        <f t="shared" si="6"/>
        <v>0.00001497844187</v>
      </c>
      <c r="AP70" s="20" t="s">
        <v>119</v>
      </c>
      <c r="AQ70" s="21">
        <v>225.0</v>
      </c>
      <c r="AR70" s="22">
        <v>5.75588888888888</v>
      </c>
      <c r="AS70" s="23">
        <v>1.295075</v>
      </c>
      <c r="AT70" s="26">
        <f t="shared" si="7"/>
        <v>0.00001801796354</v>
      </c>
      <c r="AU70" s="3"/>
      <c r="AV70" s="20" t="s">
        <v>94</v>
      </c>
      <c r="AW70" s="14">
        <v>1031.0</v>
      </c>
      <c r="AX70" s="15">
        <v>6.50366634335596</v>
      </c>
      <c r="AY70" s="15">
        <v>6.70528</v>
      </c>
      <c r="AZ70" s="26">
        <f t="shared" si="8"/>
        <v>0.00009385720553</v>
      </c>
    </row>
    <row r="71">
      <c r="B71" s="20" t="s">
        <v>120</v>
      </c>
      <c r="C71" s="21">
        <v>1024.0</v>
      </c>
      <c r="D71" s="22">
        <v>6.5609267578125</v>
      </c>
      <c r="E71" s="23">
        <v>6.718389</v>
      </c>
      <c r="F71" s="24">
        <f t="shared" si="1"/>
        <v>0.00009448941664</v>
      </c>
      <c r="G71" s="17"/>
      <c r="H71" s="4"/>
      <c r="I71" s="29"/>
      <c r="J71" s="20" t="s">
        <v>105</v>
      </c>
      <c r="K71" s="21">
        <v>1024.0</v>
      </c>
      <c r="L71" s="22">
        <v>6.079912109375</v>
      </c>
      <c r="M71" s="23">
        <v>6.22583</v>
      </c>
      <c r="N71" s="26">
        <f t="shared" si="2"/>
        <v>0.00008720596595</v>
      </c>
      <c r="O71" s="3"/>
      <c r="P71" s="20" t="s">
        <v>87</v>
      </c>
      <c r="Q71" s="14">
        <v>1031.0</v>
      </c>
      <c r="R71" s="15">
        <v>7.52167701260911</v>
      </c>
      <c r="S71" s="15">
        <v>7.754849</v>
      </c>
      <c r="T71" s="26">
        <f t="shared" si="3"/>
        <v>0.0001088846894</v>
      </c>
      <c r="V71" s="20" t="s">
        <v>110</v>
      </c>
      <c r="W71" s="21">
        <v>1026.0</v>
      </c>
      <c r="X71" s="22">
        <v>7.46048245614035</v>
      </c>
      <c r="Y71" s="23">
        <v>7.654455</v>
      </c>
      <c r="Z71" s="24">
        <f t="shared" si="4"/>
        <v>0.0001067093733</v>
      </c>
      <c r="AA71" s="17"/>
      <c r="AB71" s="4"/>
      <c r="AC71" s="29"/>
      <c r="AD71" s="20" t="s">
        <v>120</v>
      </c>
      <c r="AE71" s="21">
        <v>1024.0</v>
      </c>
      <c r="AF71" s="22">
        <v>6.5332138671875</v>
      </c>
      <c r="AG71" s="23">
        <v>6.690011</v>
      </c>
      <c r="AH71" s="26">
        <f t="shared" si="5"/>
        <v>0.00009279845734</v>
      </c>
      <c r="AI71" s="3"/>
      <c r="AJ71" s="20" t="s">
        <v>121</v>
      </c>
      <c r="AK71" s="14">
        <v>3.0</v>
      </c>
      <c r="AL71" s="15">
        <v>46.869</v>
      </c>
      <c r="AM71" s="15">
        <v>0.140607</v>
      </c>
      <c r="AN71" s="26">
        <f t="shared" si="6"/>
        <v>0.000001956848428</v>
      </c>
      <c r="AP71" s="20" t="s">
        <v>121</v>
      </c>
      <c r="AQ71" s="21">
        <v>3.0</v>
      </c>
      <c r="AR71" s="22">
        <v>47.6433333333333</v>
      </c>
      <c r="AS71" s="23">
        <v>0.14293</v>
      </c>
      <c r="AT71" s="26">
        <f t="shared" si="7"/>
        <v>0.000001988539296</v>
      </c>
      <c r="AU71" s="3"/>
      <c r="AV71" s="20" t="s">
        <v>105</v>
      </c>
      <c r="AW71" s="14">
        <v>1024.0</v>
      </c>
      <c r="AX71" s="15">
        <v>6.37797265625</v>
      </c>
      <c r="AY71" s="15">
        <v>6.531044</v>
      </c>
      <c r="AZ71" s="26">
        <f t="shared" si="8"/>
        <v>0.00009141833585</v>
      </c>
    </row>
    <row r="72">
      <c r="B72" s="20" t="s">
        <v>105</v>
      </c>
      <c r="C72" s="21">
        <v>1024.0</v>
      </c>
      <c r="D72" s="22">
        <v>5.950015625</v>
      </c>
      <c r="E72" s="23">
        <v>6.092816</v>
      </c>
      <c r="F72" s="24">
        <f t="shared" si="1"/>
        <v>0.00008569117233</v>
      </c>
      <c r="G72" s="17"/>
      <c r="H72" s="4"/>
      <c r="I72" s="29"/>
      <c r="J72" s="20" t="s">
        <v>98</v>
      </c>
      <c r="K72" s="21">
        <v>1031.0</v>
      </c>
      <c r="L72" s="22">
        <v>5.7770203685742</v>
      </c>
      <c r="M72" s="23">
        <v>5.956108</v>
      </c>
      <c r="N72" s="26">
        <f t="shared" si="2"/>
        <v>0.00008342793675</v>
      </c>
      <c r="O72" s="3"/>
      <c r="P72" s="20" t="s">
        <v>110</v>
      </c>
      <c r="Q72" s="14">
        <v>1026.0</v>
      </c>
      <c r="R72" s="15">
        <v>7.4016686159844</v>
      </c>
      <c r="S72" s="15">
        <v>7.594112</v>
      </c>
      <c r="T72" s="26">
        <f t="shared" si="3"/>
        <v>0.000106627805</v>
      </c>
      <c r="V72" s="20" t="s">
        <v>87</v>
      </c>
      <c r="W72" s="21">
        <v>1031.0</v>
      </c>
      <c r="X72" s="22">
        <v>7.14510184287099</v>
      </c>
      <c r="Y72" s="23">
        <v>7.3666</v>
      </c>
      <c r="Z72" s="24">
        <f t="shared" si="4"/>
        <v>0.0001026964388</v>
      </c>
      <c r="AA72" s="17"/>
      <c r="AB72" s="4"/>
      <c r="AC72" s="29"/>
      <c r="AD72" s="20" t="s">
        <v>105</v>
      </c>
      <c r="AE72" s="21">
        <v>1024.0</v>
      </c>
      <c r="AF72" s="22">
        <v>6.1657861328125</v>
      </c>
      <c r="AG72" s="23">
        <v>6.313765</v>
      </c>
      <c r="AH72" s="26">
        <f t="shared" si="5"/>
        <v>0.00008757947513</v>
      </c>
      <c r="AI72" s="3"/>
      <c r="AJ72" s="20" t="s">
        <v>122</v>
      </c>
      <c r="AK72" s="14">
        <v>9.0</v>
      </c>
      <c r="AL72" s="15">
        <v>5.50511111111111</v>
      </c>
      <c r="AM72" s="15">
        <v>0.049546</v>
      </c>
      <c r="AN72" s="26">
        <f t="shared" si="6"/>
        <v>0.0000006895390146</v>
      </c>
      <c r="AP72" s="20" t="s">
        <v>122</v>
      </c>
      <c r="AQ72" s="21">
        <v>9.0</v>
      </c>
      <c r="AR72" s="22">
        <v>5.65188888888888</v>
      </c>
      <c r="AS72" s="23">
        <v>0.050867</v>
      </c>
      <c r="AT72" s="26">
        <f t="shared" si="7"/>
        <v>0.0000007076962734</v>
      </c>
      <c r="AU72" s="3"/>
      <c r="AV72" s="20" t="s">
        <v>120</v>
      </c>
      <c r="AW72" s="14">
        <v>1024.0</v>
      </c>
      <c r="AX72" s="15">
        <v>6.2438955078125</v>
      </c>
      <c r="AY72" s="15">
        <v>6.393749</v>
      </c>
      <c r="AZ72" s="26">
        <f t="shared" si="8"/>
        <v>0.00008949654809</v>
      </c>
    </row>
    <row r="73">
      <c r="B73" s="20" t="s">
        <v>98</v>
      </c>
      <c r="C73" s="21">
        <v>1031.0</v>
      </c>
      <c r="D73" s="22">
        <v>5.41758777885548</v>
      </c>
      <c r="E73" s="23">
        <v>5.585533</v>
      </c>
      <c r="F73" s="24">
        <f t="shared" si="1"/>
        <v>0.00007855659367</v>
      </c>
      <c r="G73" s="17"/>
      <c r="H73" s="4"/>
      <c r="I73" s="29"/>
      <c r="J73" s="20" t="s">
        <v>96</v>
      </c>
      <c r="K73" s="21">
        <v>1030.0</v>
      </c>
      <c r="L73" s="22">
        <v>5.35225728155339</v>
      </c>
      <c r="M73" s="23">
        <v>5.512825</v>
      </c>
      <c r="N73" s="26">
        <f t="shared" si="2"/>
        <v>0.00007721881729</v>
      </c>
      <c r="O73" s="3"/>
      <c r="P73" s="20" t="s">
        <v>123</v>
      </c>
      <c r="Q73" s="14">
        <v>42.0</v>
      </c>
      <c r="R73" s="15">
        <v>176.866619047619</v>
      </c>
      <c r="S73" s="15">
        <v>7.428398</v>
      </c>
      <c r="T73" s="26">
        <f t="shared" si="3"/>
        <v>0.0001043010392</v>
      </c>
      <c r="V73" s="20" t="s">
        <v>118</v>
      </c>
      <c r="W73" s="21">
        <v>1026.0</v>
      </c>
      <c r="X73" s="22">
        <v>7.15180896686159</v>
      </c>
      <c r="Y73" s="23">
        <v>7.337756</v>
      </c>
      <c r="Z73" s="24">
        <f t="shared" si="4"/>
        <v>0.0001022943298</v>
      </c>
      <c r="AA73" s="17"/>
      <c r="AB73" s="4"/>
      <c r="AC73" s="29"/>
      <c r="AD73" s="20" t="s">
        <v>98</v>
      </c>
      <c r="AE73" s="21">
        <v>1031.0</v>
      </c>
      <c r="AF73" s="22">
        <v>5.64145780795344</v>
      </c>
      <c r="AG73" s="23">
        <v>5.816343</v>
      </c>
      <c r="AH73" s="26">
        <f t="shared" si="5"/>
        <v>0.00008067963681</v>
      </c>
      <c r="AI73" s="3"/>
      <c r="AJ73" s="20" t="s">
        <v>124</v>
      </c>
      <c r="AK73" s="14">
        <v>9.0</v>
      </c>
      <c r="AL73" s="15">
        <v>3.39533333333333</v>
      </c>
      <c r="AM73" s="15">
        <v>0.030558</v>
      </c>
      <c r="AN73" s="26">
        <f t="shared" si="6"/>
        <v>0.0000004252802084</v>
      </c>
      <c r="AP73" s="20" t="s">
        <v>124</v>
      </c>
      <c r="AQ73" s="21">
        <v>9.0</v>
      </c>
      <c r="AR73" s="22">
        <v>3.075</v>
      </c>
      <c r="AS73" s="23">
        <v>0.027675</v>
      </c>
      <c r="AT73" s="26">
        <f t="shared" si="7"/>
        <v>0.000000385033408</v>
      </c>
      <c r="AU73" s="3"/>
      <c r="AV73" s="20" t="s">
        <v>98</v>
      </c>
      <c r="AW73" s="14">
        <v>1031.0</v>
      </c>
      <c r="AX73" s="15">
        <v>5.82770902036857</v>
      </c>
      <c r="AY73" s="15">
        <v>6.008368</v>
      </c>
      <c r="AZ73" s="26">
        <f t="shared" si="8"/>
        <v>0.00008410217474</v>
      </c>
    </row>
    <row r="74">
      <c r="B74" s="20" t="s">
        <v>111</v>
      </c>
      <c r="C74" s="21">
        <v>1024.0</v>
      </c>
      <c r="D74" s="22">
        <v>5.4451142578125</v>
      </c>
      <c r="E74" s="23">
        <v>5.575797</v>
      </c>
      <c r="F74" s="24">
        <f t="shared" si="1"/>
        <v>0.00007841966368</v>
      </c>
      <c r="G74" s="17"/>
      <c r="H74" s="4"/>
      <c r="I74" s="29"/>
      <c r="J74" s="20" t="s">
        <v>111</v>
      </c>
      <c r="K74" s="21">
        <v>1024.0</v>
      </c>
      <c r="L74" s="22">
        <v>5.248697265625</v>
      </c>
      <c r="M74" s="23">
        <v>5.374666</v>
      </c>
      <c r="N74" s="26">
        <f t="shared" si="2"/>
        <v>0.0000752836072</v>
      </c>
      <c r="O74" s="3"/>
      <c r="P74" s="20" t="s">
        <v>118</v>
      </c>
      <c r="Q74" s="14">
        <v>1026.0</v>
      </c>
      <c r="R74" s="15">
        <v>6.8543723196881</v>
      </c>
      <c r="S74" s="15">
        <v>7.032586</v>
      </c>
      <c r="T74" s="26">
        <f t="shared" si="3"/>
        <v>0.00009874350134</v>
      </c>
      <c r="V74" s="20" t="s">
        <v>123</v>
      </c>
      <c r="W74" s="21">
        <v>42.0</v>
      </c>
      <c r="X74" s="22">
        <v>173.373857142857</v>
      </c>
      <c r="Y74" s="23">
        <v>7.281702</v>
      </c>
      <c r="Z74" s="24">
        <f t="shared" si="4"/>
        <v>0.0001015128911</v>
      </c>
      <c r="AA74" s="17"/>
      <c r="AB74" s="4"/>
      <c r="AC74" s="29"/>
      <c r="AD74" s="20" t="s">
        <v>96</v>
      </c>
      <c r="AE74" s="21">
        <v>1030.0</v>
      </c>
      <c r="AF74" s="22">
        <v>5.33241650485436</v>
      </c>
      <c r="AG74" s="23">
        <v>5.492389</v>
      </c>
      <c r="AH74" s="26">
        <f t="shared" si="5"/>
        <v>0.00007618600721</v>
      </c>
      <c r="AI74" s="3"/>
      <c r="AJ74" s="20"/>
      <c r="AK74" s="14"/>
      <c r="AL74" s="15"/>
      <c r="AM74" s="15"/>
      <c r="AN74" s="26">
        <f t="shared" si="6"/>
        <v>0</v>
      </c>
      <c r="AP74" s="20"/>
      <c r="AQ74" s="21"/>
      <c r="AR74" s="22"/>
      <c r="AS74" s="23"/>
      <c r="AT74" s="26">
        <f t="shared" si="7"/>
        <v>0</v>
      </c>
      <c r="AU74" s="3"/>
      <c r="AV74" s="20" t="s">
        <v>108</v>
      </c>
      <c r="AW74" s="14">
        <v>75.0</v>
      </c>
      <c r="AX74" s="15">
        <v>75.364</v>
      </c>
      <c r="AY74" s="15">
        <v>5.6523</v>
      </c>
      <c r="AZ74" s="26">
        <f t="shared" si="8"/>
        <v>0.00007911811032</v>
      </c>
    </row>
    <row r="75">
      <c r="B75" s="20" t="s">
        <v>123</v>
      </c>
      <c r="C75" s="21">
        <v>21.0</v>
      </c>
      <c r="D75" s="22">
        <v>256.013523809523</v>
      </c>
      <c r="E75" s="23">
        <v>5.376284</v>
      </c>
      <c r="F75" s="24">
        <f t="shared" si="1"/>
        <v>0.00007561365364</v>
      </c>
      <c r="G75" s="17"/>
      <c r="H75" s="4"/>
      <c r="I75" s="29"/>
      <c r="J75" s="20" t="s">
        <v>108</v>
      </c>
      <c r="K75" s="21">
        <v>75.0</v>
      </c>
      <c r="L75" s="22">
        <v>71.0056</v>
      </c>
      <c r="M75" s="23">
        <v>5.32542</v>
      </c>
      <c r="N75" s="26">
        <f t="shared" si="2"/>
        <v>0.00007459381242</v>
      </c>
      <c r="O75" s="3"/>
      <c r="P75" s="20" t="s">
        <v>94</v>
      </c>
      <c r="Q75" s="14">
        <v>1031.0</v>
      </c>
      <c r="R75" s="15">
        <v>6.79026382153249</v>
      </c>
      <c r="S75" s="15">
        <v>7.000762</v>
      </c>
      <c r="T75" s="26">
        <f t="shared" si="3"/>
        <v>0.00009829666526</v>
      </c>
      <c r="V75" s="20" t="s">
        <v>92</v>
      </c>
      <c r="W75" s="21">
        <v>1031.0</v>
      </c>
      <c r="X75" s="22">
        <v>6.78431037827352</v>
      </c>
      <c r="Y75" s="23">
        <v>6.994624</v>
      </c>
      <c r="Z75" s="24">
        <f t="shared" si="4"/>
        <v>0.00009751078863</v>
      </c>
      <c r="AA75" s="17"/>
      <c r="AB75" s="4"/>
      <c r="AC75" s="29"/>
      <c r="AD75" s="20" t="s">
        <v>108</v>
      </c>
      <c r="AE75" s="21">
        <v>75.0</v>
      </c>
      <c r="AF75" s="22">
        <v>72.55028</v>
      </c>
      <c r="AG75" s="23">
        <v>5.441271</v>
      </c>
      <c r="AH75" s="26">
        <f t="shared" si="5"/>
        <v>0.00007547693939</v>
      </c>
      <c r="AI75" s="3"/>
      <c r="AJ75" s="20"/>
      <c r="AK75" s="14"/>
      <c r="AL75" s="15"/>
      <c r="AM75" s="15"/>
      <c r="AN75" s="26">
        <f t="shared" si="6"/>
        <v>0</v>
      </c>
      <c r="AP75" s="20"/>
      <c r="AQ75" s="21"/>
      <c r="AR75" s="22"/>
      <c r="AS75" s="23"/>
      <c r="AT75" s="26">
        <f t="shared" si="7"/>
        <v>0</v>
      </c>
      <c r="AU75" s="3"/>
      <c r="AV75" s="20" t="s">
        <v>111</v>
      </c>
      <c r="AW75" s="14">
        <v>1024.0</v>
      </c>
      <c r="AX75" s="15">
        <v>5.4071396484375</v>
      </c>
      <c r="AY75" s="15">
        <v>5.536911</v>
      </c>
      <c r="AZ75" s="26">
        <f t="shared" si="8"/>
        <v>0.00007750295196</v>
      </c>
    </row>
    <row r="76">
      <c r="B76" s="20" t="s">
        <v>96</v>
      </c>
      <c r="C76" s="21">
        <v>1030.0</v>
      </c>
      <c r="D76" s="22">
        <v>5.15060776699029</v>
      </c>
      <c r="E76" s="23">
        <v>5.305126</v>
      </c>
      <c r="F76" s="24">
        <f t="shared" si="1"/>
        <v>0.00007461286641</v>
      </c>
      <c r="G76" s="17"/>
      <c r="H76" s="4"/>
      <c r="I76" s="29"/>
      <c r="J76" s="20" t="s">
        <v>122</v>
      </c>
      <c r="K76" s="21">
        <v>1031.0</v>
      </c>
      <c r="L76" s="22">
        <v>4.79596605237633</v>
      </c>
      <c r="M76" s="23">
        <v>4.944641</v>
      </c>
      <c r="N76" s="26">
        <f t="shared" si="2"/>
        <v>0.00006926019417</v>
      </c>
      <c r="O76" s="3"/>
      <c r="P76" s="20" t="s">
        <v>98</v>
      </c>
      <c r="Q76" s="14">
        <v>1031.0</v>
      </c>
      <c r="R76" s="15">
        <v>6.70179922405431</v>
      </c>
      <c r="S76" s="15">
        <v>6.909555</v>
      </c>
      <c r="T76" s="26">
        <f t="shared" si="3"/>
        <v>0.00009701604124</v>
      </c>
      <c r="V76" s="20" t="s">
        <v>94</v>
      </c>
      <c r="W76" s="21">
        <v>1031.0</v>
      </c>
      <c r="X76" s="22">
        <v>6.68527546071774</v>
      </c>
      <c r="Y76" s="23">
        <v>6.892519</v>
      </c>
      <c r="Z76" s="24">
        <f t="shared" si="4"/>
        <v>0.00009608736129</v>
      </c>
      <c r="AA76" s="17"/>
      <c r="AB76" s="4"/>
      <c r="AC76" s="29"/>
      <c r="AD76" s="20" t="s">
        <v>99</v>
      </c>
      <c r="AE76" s="21">
        <v>1031.0</v>
      </c>
      <c r="AF76" s="22">
        <v>5.20625897187196</v>
      </c>
      <c r="AG76" s="23">
        <v>5.367653</v>
      </c>
      <c r="AH76" s="26">
        <f t="shared" si="5"/>
        <v>0.00007445576964</v>
      </c>
      <c r="AI76" s="3"/>
      <c r="AJ76" s="20"/>
      <c r="AK76" s="14"/>
      <c r="AL76" s="15"/>
      <c r="AM76" s="15"/>
      <c r="AN76" s="26">
        <f t="shared" si="6"/>
        <v>0</v>
      </c>
      <c r="AP76" s="20"/>
      <c r="AQ76" s="21"/>
      <c r="AR76" s="22"/>
      <c r="AS76" s="23"/>
      <c r="AT76" s="26">
        <f t="shared" si="7"/>
        <v>0</v>
      </c>
      <c r="AU76" s="3"/>
      <c r="AV76" s="20" t="s">
        <v>96</v>
      </c>
      <c r="AW76" s="14">
        <v>1030.0</v>
      </c>
      <c r="AX76" s="15">
        <v>5.27750970873786</v>
      </c>
      <c r="AY76" s="15">
        <v>5.435835</v>
      </c>
      <c r="AZ76" s="26">
        <f t="shared" si="8"/>
        <v>0.00007608813991</v>
      </c>
    </row>
    <row r="77">
      <c r="B77" s="20" t="s">
        <v>122</v>
      </c>
      <c r="C77" s="21">
        <v>1030.0</v>
      </c>
      <c r="D77" s="22">
        <v>4.71121165048543</v>
      </c>
      <c r="E77" s="23">
        <v>4.852548</v>
      </c>
      <c r="F77" s="24">
        <f t="shared" si="1"/>
        <v>0.00006824767511</v>
      </c>
      <c r="G77" s="17"/>
      <c r="H77" s="4"/>
      <c r="I77" s="29"/>
      <c r="J77" s="20" t="s">
        <v>125</v>
      </c>
      <c r="K77" s="21">
        <v>1024.0</v>
      </c>
      <c r="L77" s="22">
        <v>4.806146484375</v>
      </c>
      <c r="M77" s="23">
        <v>4.921494</v>
      </c>
      <c r="N77" s="26">
        <f t="shared" si="2"/>
        <v>0.0000689359713</v>
      </c>
      <c r="O77" s="3"/>
      <c r="P77" s="20" t="s">
        <v>92</v>
      </c>
      <c r="Q77" s="14">
        <v>1031.0</v>
      </c>
      <c r="R77" s="15">
        <v>6.61064888457807</v>
      </c>
      <c r="S77" s="15">
        <v>6.815579</v>
      </c>
      <c r="T77" s="26">
        <f t="shared" si="3"/>
        <v>0.00009569653811</v>
      </c>
      <c r="V77" s="20" t="s">
        <v>98</v>
      </c>
      <c r="W77" s="21">
        <v>1031.0</v>
      </c>
      <c r="X77" s="22">
        <v>6.25849272550921</v>
      </c>
      <c r="Y77" s="23">
        <v>6.452506</v>
      </c>
      <c r="Z77" s="24">
        <f t="shared" si="4"/>
        <v>0.00008995321961</v>
      </c>
      <c r="AA77" s="17"/>
      <c r="AB77" s="4"/>
      <c r="AC77" s="29"/>
      <c r="AD77" s="20" t="s">
        <v>122</v>
      </c>
      <c r="AE77" s="21">
        <v>1031.0</v>
      </c>
      <c r="AF77" s="22">
        <v>4.83831037827352</v>
      </c>
      <c r="AG77" s="23">
        <v>4.988298</v>
      </c>
      <c r="AH77" s="26">
        <f t="shared" si="5"/>
        <v>0.00006919366189</v>
      </c>
      <c r="AI77" s="3"/>
      <c r="AJ77" s="20"/>
      <c r="AK77" s="14"/>
      <c r="AL77" s="15"/>
      <c r="AM77" s="15"/>
      <c r="AN77" s="26">
        <f t="shared" si="6"/>
        <v>0</v>
      </c>
      <c r="AP77" s="20"/>
      <c r="AQ77" s="21"/>
      <c r="AR77" s="22"/>
      <c r="AS77" s="23"/>
      <c r="AT77" s="26">
        <f t="shared" si="7"/>
        <v>0</v>
      </c>
      <c r="AU77" s="3"/>
      <c r="AV77" s="20" t="s">
        <v>122</v>
      </c>
      <c r="AW77" s="14">
        <v>1030.0</v>
      </c>
      <c r="AX77" s="15">
        <v>4.95376796116504</v>
      </c>
      <c r="AY77" s="15">
        <v>5.102381</v>
      </c>
      <c r="AZ77" s="26">
        <f t="shared" si="8"/>
        <v>0.00007142061513</v>
      </c>
    </row>
    <row r="78">
      <c r="B78" s="20" t="s">
        <v>126</v>
      </c>
      <c r="C78" s="21">
        <v>1024.0</v>
      </c>
      <c r="D78" s="22">
        <v>4.6141728515625</v>
      </c>
      <c r="E78" s="23">
        <v>4.724913</v>
      </c>
      <c r="F78" s="24">
        <f t="shared" si="1"/>
        <v>0.0000664525786</v>
      </c>
      <c r="G78" s="17"/>
      <c r="H78" s="4"/>
      <c r="I78" s="29"/>
      <c r="J78" s="20" t="s">
        <v>126</v>
      </c>
      <c r="K78" s="21">
        <v>1024.0</v>
      </c>
      <c r="L78" s="22">
        <v>4.660677734375</v>
      </c>
      <c r="M78" s="23">
        <v>4.772534</v>
      </c>
      <c r="N78" s="26">
        <f t="shared" si="2"/>
        <v>0.00006684947027</v>
      </c>
      <c r="O78" s="3"/>
      <c r="P78" s="20" t="s">
        <v>120</v>
      </c>
      <c r="Q78" s="14">
        <v>1026.0</v>
      </c>
      <c r="R78" s="15">
        <v>5.78319785575048</v>
      </c>
      <c r="S78" s="15">
        <v>5.933561</v>
      </c>
      <c r="T78" s="26">
        <f t="shared" si="3"/>
        <v>0.00008331225364</v>
      </c>
      <c r="V78" s="20" t="s">
        <v>127</v>
      </c>
      <c r="W78" s="21">
        <v>1023.0</v>
      </c>
      <c r="X78" s="22">
        <v>5.98145845552297</v>
      </c>
      <c r="Y78" s="23">
        <v>6.119032</v>
      </c>
      <c r="Z78" s="24">
        <f t="shared" si="4"/>
        <v>0.00008530431886</v>
      </c>
      <c r="AA78" s="17"/>
      <c r="AB78" s="4"/>
      <c r="AC78" s="29"/>
      <c r="AD78" s="20" t="s">
        <v>126</v>
      </c>
      <c r="AE78" s="21">
        <v>1024.0</v>
      </c>
      <c r="AF78" s="22">
        <v>4.8502919921875</v>
      </c>
      <c r="AG78" s="23">
        <v>4.966699</v>
      </c>
      <c r="AH78" s="26">
        <f t="shared" si="5"/>
        <v>0.00006889405791</v>
      </c>
      <c r="AI78" s="3"/>
      <c r="AJ78" s="20"/>
      <c r="AK78" s="14"/>
      <c r="AL78" s="15"/>
      <c r="AM78" s="15"/>
      <c r="AN78" s="26">
        <f t="shared" si="6"/>
        <v>0</v>
      </c>
      <c r="AP78" s="20"/>
      <c r="AQ78" s="21"/>
      <c r="AR78" s="22"/>
      <c r="AS78" s="23"/>
      <c r="AT78" s="26">
        <f t="shared" si="7"/>
        <v>0</v>
      </c>
      <c r="AU78" s="3"/>
      <c r="AV78" s="20" t="s">
        <v>126</v>
      </c>
      <c r="AW78" s="14">
        <v>1024.0</v>
      </c>
      <c r="AX78" s="15">
        <v>4.904029296875</v>
      </c>
      <c r="AY78" s="15">
        <v>5.021726</v>
      </c>
      <c r="AZ78" s="26">
        <f t="shared" si="8"/>
        <v>0.00007029164618</v>
      </c>
    </row>
    <row r="79">
      <c r="B79" s="20" t="s">
        <v>125</v>
      </c>
      <c r="C79" s="21">
        <v>1024.0</v>
      </c>
      <c r="D79" s="22">
        <v>4.60215234375</v>
      </c>
      <c r="E79" s="23">
        <v>4.712604</v>
      </c>
      <c r="F79" s="24">
        <f t="shared" si="1"/>
        <v>0.00006627946117</v>
      </c>
      <c r="G79" s="17"/>
      <c r="H79" s="4"/>
      <c r="I79" s="29"/>
      <c r="J79" s="20" t="s">
        <v>128</v>
      </c>
      <c r="K79" s="21">
        <v>1024.0</v>
      </c>
      <c r="L79" s="22">
        <v>4.5792041015625</v>
      </c>
      <c r="M79" s="23">
        <v>4.689105</v>
      </c>
      <c r="N79" s="26">
        <f t="shared" si="2"/>
        <v>0.00006568087002</v>
      </c>
      <c r="O79" s="3"/>
      <c r="P79" s="20" t="s">
        <v>127</v>
      </c>
      <c r="Q79" s="14">
        <v>1023.0</v>
      </c>
      <c r="R79" s="15">
        <v>5.78431182795698</v>
      </c>
      <c r="S79" s="15">
        <v>5.917351</v>
      </c>
      <c r="T79" s="26">
        <f t="shared" si="3"/>
        <v>0.00008308465142</v>
      </c>
      <c r="V79" s="20" t="s">
        <v>120</v>
      </c>
      <c r="W79" s="21">
        <v>1026.0</v>
      </c>
      <c r="X79" s="22">
        <v>5.62496296296296</v>
      </c>
      <c r="Y79" s="23">
        <v>5.771212</v>
      </c>
      <c r="Z79" s="24">
        <f t="shared" si="4"/>
        <v>0.00008045542312</v>
      </c>
      <c r="AA79" s="17"/>
      <c r="AB79" s="4"/>
      <c r="AC79" s="29"/>
      <c r="AD79" s="20" t="s">
        <v>125</v>
      </c>
      <c r="AE79" s="21">
        <v>1024.0</v>
      </c>
      <c r="AF79" s="22">
        <v>4.7995634765625</v>
      </c>
      <c r="AG79" s="23">
        <v>4.914753</v>
      </c>
      <c r="AH79" s="26">
        <f t="shared" si="5"/>
        <v>0.00006817350474</v>
      </c>
      <c r="AI79" s="3"/>
      <c r="AJ79" s="20"/>
      <c r="AK79" s="14"/>
      <c r="AL79" s="15"/>
      <c r="AM79" s="15"/>
      <c r="AN79" s="26">
        <f t="shared" si="6"/>
        <v>0</v>
      </c>
      <c r="AP79" s="20"/>
      <c r="AQ79" s="21"/>
      <c r="AR79" s="22"/>
      <c r="AS79" s="23"/>
      <c r="AT79" s="26">
        <f t="shared" si="7"/>
        <v>0</v>
      </c>
      <c r="AU79" s="3"/>
      <c r="AV79" s="20" t="s">
        <v>128</v>
      </c>
      <c r="AW79" s="14">
        <v>1024.0</v>
      </c>
      <c r="AX79" s="15">
        <v>4.739705078125</v>
      </c>
      <c r="AY79" s="15">
        <v>4.853458</v>
      </c>
      <c r="AZ79" s="26">
        <f t="shared" si="8"/>
        <v>0.00006793631362</v>
      </c>
    </row>
    <row r="80">
      <c r="B80" s="20" t="s">
        <v>128</v>
      </c>
      <c r="C80" s="21">
        <v>1024.0</v>
      </c>
      <c r="D80" s="22">
        <v>4.55622265625</v>
      </c>
      <c r="E80" s="23">
        <v>4.665572</v>
      </c>
      <c r="F80" s="24">
        <f t="shared" si="1"/>
        <v>0.00006561798916</v>
      </c>
      <c r="G80" s="17"/>
      <c r="H80" s="4"/>
      <c r="I80" s="29"/>
      <c r="J80" s="20" t="s">
        <v>129</v>
      </c>
      <c r="K80" s="21">
        <v>1024.0</v>
      </c>
      <c r="L80" s="22">
        <v>4.54809375</v>
      </c>
      <c r="M80" s="23">
        <v>4.657248</v>
      </c>
      <c r="N80" s="26">
        <f t="shared" si="2"/>
        <v>0.0000652346451</v>
      </c>
      <c r="O80" s="3"/>
      <c r="P80" s="20" t="s">
        <v>130</v>
      </c>
      <c r="Q80" s="14">
        <v>1023.0</v>
      </c>
      <c r="R80" s="15">
        <v>5.75627468230694</v>
      </c>
      <c r="S80" s="15">
        <v>5.888669</v>
      </c>
      <c r="T80" s="26">
        <f t="shared" si="3"/>
        <v>0.0000826819317</v>
      </c>
      <c r="V80" s="20" t="s">
        <v>130</v>
      </c>
      <c r="W80" s="21">
        <v>1023.0</v>
      </c>
      <c r="X80" s="22">
        <v>5.45274780058651</v>
      </c>
      <c r="Y80" s="23">
        <v>5.578161</v>
      </c>
      <c r="Z80" s="24">
        <f t="shared" si="4"/>
        <v>0.00007776413403</v>
      </c>
      <c r="AA80" s="17"/>
      <c r="AB80" s="4"/>
      <c r="AC80" s="29"/>
      <c r="AD80" s="20" t="s">
        <v>128</v>
      </c>
      <c r="AE80" s="21">
        <v>1024.0</v>
      </c>
      <c r="AF80" s="22">
        <v>4.709001953125</v>
      </c>
      <c r="AG80" s="23">
        <v>4.822018</v>
      </c>
      <c r="AH80" s="26">
        <f t="shared" si="5"/>
        <v>0.00006688715933</v>
      </c>
      <c r="AI80" s="3"/>
      <c r="AJ80" s="20"/>
      <c r="AK80" s="14"/>
      <c r="AL80" s="15"/>
      <c r="AM80" s="15"/>
      <c r="AN80" s="26">
        <f t="shared" si="6"/>
        <v>0</v>
      </c>
      <c r="AP80" s="20"/>
      <c r="AQ80" s="21"/>
      <c r="AR80" s="22"/>
      <c r="AS80" s="23"/>
      <c r="AT80" s="26">
        <f t="shared" si="7"/>
        <v>0</v>
      </c>
      <c r="AU80" s="3"/>
      <c r="AV80" s="20" t="s">
        <v>125</v>
      </c>
      <c r="AW80" s="14">
        <v>1024.0</v>
      </c>
      <c r="AX80" s="15">
        <v>4.70837109375</v>
      </c>
      <c r="AY80" s="15">
        <v>4.821372</v>
      </c>
      <c r="AZ80" s="26">
        <f t="shared" si="8"/>
        <v>0.00006748718961</v>
      </c>
    </row>
    <row r="81">
      <c r="B81" s="20" t="s">
        <v>129</v>
      </c>
      <c r="C81" s="21">
        <v>1024.0</v>
      </c>
      <c r="D81" s="22">
        <v>4.4731005859375</v>
      </c>
      <c r="E81" s="23">
        <v>4.580455</v>
      </c>
      <c r="F81" s="24">
        <f t="shared" si="1"/>
        <v>0.00006442087842</v>
      </c>
      <c r="G81" s="17"/>
      <c r="H81" s="4"/>
      <c r="I81" s="29"/>
      <c r="J81" s="20" t="s">
        <v>131</v>
      </c>
      <c r="K81" s="21">
        <v>1024.0</v>
      </c>
      <c r="L81" s="22">
        <v>4.48533203125</v>
      </c>
      <c r="M81" s="23">
        <v>4.59298</v>
      </c>
      <c r="N81" s="26">
        <f t="shared" si="2"/>
        <v>0.00006433443533</v>
      </c>
      <c r="O81" s="3"/>
      <c r="P81" s="20" t="s">
        <v>132</v>
      </c>
      <c r="Q81" s="14">
        <v>1023.0</v>
      </c>
      <c r="R81" s="15">
        <v>5.41671260997067</v>
      </c>
      <c r="S81" s="15">
        <v>5.541297</v>
      </c>
      <c r="T81" s="26">
        <f t="shared" si="3"/>
        <v>0.00007780453275</v>
      </c>
      <c r="V81" s="20" t="s">
        <v>96</v>
      </c>
      <c r="W81" s="21">
        <v>1029.0</v>
      </c>
      <c r="X81" s="22">
        <v>5.39233624878522</v>
      </c>
      <c r="Y81" s="23">
        <v>5.548714</v>
      </c>
      <c r="Z81" s="24">
        <f t="shared" si="4"/>
        <v>0.00007735361873</v>
      </c>
      <c r="AA81" s="17"/>
      <c r="AB81" s="4"/>
      <c r="AC81" s="29"/>
      <c r="AD81" s="20" t="s">
        <v>129</v>
      </c>
      <c r="AE81" s="21">
        <v>1024.0</v>
      </c>
      <c r="AF81" s="22">
        <v>4.683470703125</v>
      </c>
      <c r="AG81" s="23">
        <v>4.795874</v>
      </c>
      <c r="AH81" s="26">
        <f t="shared" si="5"/>
        <v>0.00006652451077</v>
      </c>
      <c r="AI81" s="3"/>
      <c r="AJ81" s="20"/>
      <c r="AK81" s="14"/>
      <c r="AL81" s="15"/>
      <c r="AM81" s="15"/>
      <c r="AN81" s="26">
        <f t="shared" si="6"/>
        <v>0</v>
      </c>
      <c r="AP81" s="20"/>
      <c r="AQ81" s="21"/>
      <c r="AR81" s="22"/>
      <c r="AS81" s="23"/>
      <c r="AT81" s="26">
        <f t="shared" si="7"/>
        <v>0</v>
      </c>
      <c r="AU81" s="3"/>
      <c r="AV81" s="20" t="s">
        <v>129</v>
      </c>
      <c r="AW81" s="14">
        <v>1024.0</v>
      </c>
      <c r="AX81" s="15">
        <v>4.6376025390625</v>
      </c>
      <c r="AY81" s="15">
        <v>4.748905</v>
      </c>
      <c r="AZ81" s="26">
        <f t="shared" si="8"/>
        <v>0.00006647283225</v>
      </c>
    </row>
    <row r="82">
      <c r="B82" s="20" t="s">
        <v>133</v>
      </c>
      <c r="C82" s="21">
        <v>1024.0</v>
      </c>
      <c r="D82" s="22">
        <v>4.3851064453125</v>
      </c>
      <c r="E82" s="23">
        <v>4.490349</v>
      </c>
      <c r="F82" s="24">
        <f t="shared" si="1"/>
        <v>0.00006315360089</v>
      </c>
      <c r="G82" s="17"/>
      <c r="H82" s="4"/>
      <c r="I82" s="29"/>
      <c r="J82" s="20" t="s">
        <v>134</v>
      </c>
      <c r="K82" s="21">
        <v>1024.0</v>
      </c>
      <c r="L82" s="22">
        <v>4.393337890625</v>
      </c>
      <c r="M82" s="23">
        <v>4.498778</v>
      </c>
      <c r="N82" s="26">
        <f t="shared" si="2"/>
        <v>0.00006301493634</v>
      </c>
      <c r="O82" s="3"/>
      <c r="P82" s="20" t="s">
        <v>96</v>
      </c>
      <c r="Q82" s="14">
        <v>1029.0</v>
      </c>
      <c r="R82" s="15">
        <v>5.2041127308066</v>
      </c>
      <c r="S82" s="15">
        <v>5.355032</v>
      </c>
      <c r="T82" s="26">
        <f t="shared" si="3"/>
        <v>0.0000751892134</v>
      </c>
      <c r="V82" s="20" t="s">
        <v>132</v>
      </c>
      <c r="W82" s="21">
        <v>1023.0</v>
      </c>
      <c r="X82" s="22">
        <v>5.20898924731182</v>
      </c>
      <c r="Y82" s="23">
        <v>5.328796</v>
      </c>
      <c r="Z82" s="24">
        <f t="shared" si="4"/>
        <v>0.00007428778165</v>
      </c>
      <c r="AA82" s="17"/>
      <c r="AB82" s="4"/>
      <c r="AC82" s="29"/>
      <c r="AD82" s="20" t="s">
        <v>107</v>
      </c>
      <c r="AE82" s="21">
        <v>1031.0</v>
      </c>
      <c r="AF82" s="22">
        <v>4.55506595538312</v>
      </c>
      <c r="AG82" s="23">
        <v>4.696273</v>
      </c>
      <c r="AH82" s="26">
        <f t="shared" si="5"/>
        <v>0.00006514292572</v>
      </c>
      <c r="AI82" s="3"/>
      <c r="AJ82" s="20"/>
      <c r="AK82" s="14"/>
      <c r="AL82" s="15"/>
      <c r="AM82" s="15"/>
      <c r="AN82" s="26">
        <f t="shared" si="6"/>
        <v>0</v>
      </c>
      <c r="AP82" s="20"/>
      <c r="AQ82" s="21"/>
      <c r="AR82" s="22"/>
      <c r="AS82" s="23"/>
      <c r="AT82" s="26">
        <f t="shared" si="7"/>
        <v>0</v>
      </c>
      <c r="AU82" s="3"/>
      <c r="AV82" s="20" t="s">
        <v>133</v>
      </c>
      <c r="AW82" s="14">
        <v>1024.0</v>
      </c>
      <c r="AX82" s="15">
        <v>4.54708203125</v>
      </c>
      <c r="AY82" s="15">
        <v>4.656212</v>
      </c>
      <c r="AZ82" s="26">
        <f t="shared" si="8"/>
        <v>0.00006517536131</v>
      </c>
    </row>
    <row r="83">
      <c r="B83" s="20" t="s">
        <v>102</v>
      </c>
      <c r="C83" s="21">
        <v>1031.0</v>
      </c>
      <c r="D83" s="22">
        <v>4.34982832201745</v>
      </c>
      <c r="E83" s="23">
        <v>4.484673</v>
      </c>
      <c r="F83" s="24">
        <f t="shared" si="1"/>
        <v>0.00006307377194</v>
      </c>
      <c r="G83" s="17"/>
      <c r="H83" s="4"/>
      <c r="I83" s="29"/>
      <c r="J83" s="20" t="s">
        <v>102</v>
      </c>
      <c r="K83" s="21">
        <v>1031.0</v>
      </c>
      <c r="L83" s="22">
        <v>4.34894374393792</v>
      </c>
      <c r="M83" s="23">
        <v>4.483761</v>
      </c>
      <c r="N83" s="26">
        <f t="shared" si="2"/>
        <v>0.00006280459137</v>
      </c>
      <c r="O83" s="3"/>
      <c r="P83" s="20" t="s">
        <v>111</v>
      </c>
      <c r="Q83" s="14">
        <v>1026.0</v>
      </c>
      <c r="R83" s="15">
        <v>4.83461598440545</v>
      </c>
      <c r="S83" s="15">
        <v>4.960316</v>
      </c>
      <c r="T83" s="26">
        <f t="shared" si="3"/>
        <v>0.00006964706434</v>
      </c>
      <c r="V83" s="20" t="s">
        <v>111</v>
      </c>
      <c r="W83" s="21">
        <v>1026.0</v>
      </c>
      <c r="X83" s="22">
        <v>4.86455555555555</v>
      </c>
      <c r="Y83" s="23">
        <v>4.991034</v>
      </c>
      <c r="Z83" s="24">
        <f t="shared" si="4"/>
        <v>0.00006957910267</v>
      </c>
      <c r="AA83" s="17"/>
      <c r="AB83" s="4"/>
      <c r="AC83" s="29"/>
      <c r="AD83" s="20" t="s">
        <v>133</v>
      </c>
      <c r="AE83" s="21">
        <v>1024.0</v>
      </c>
      <c r="AF83" s="22">
        <v>4.50874609375</v>
      </c>
      <c r="AG83" s="23">
        <v>4.616956</v>
      </c>
      <c r="AH83" s="26">
        <f t="shared" si="5"/>
        <v>0.00006404270403</v>
      </c>
      <c r="AI83" s="3"/>
      <c r="AJ83" s="20"/>
      <c r="AK83" s="14"/>
      <c r="AL83" s="15"/>
      <c r="AM83" s="15"/>
      <c r="AN83" s="26">
        <f t="shared" si="6"/>
        <v>0</v>
      </c>
      <c r="AP83" s="20"/>
      <c r="AQ83" s="21"/>
      <c r="AR83" s="22"/>
      <c r="AS83" s="23"/>
      <c r="AT83" s="26">
        <f t="shared" si="7"/>
        <v>0</v>
      </c>
      <c r="AU83" s="3"/>
      <c r="AV83" s="20" t="s">
        <v>134</v>
      </c>
      <c r="AW83" s="14">
        <v>1024.0</v>
      </c>
      <c r="AX83" s="15">
        <v>4.435802734375</v>
      </c>
      <c r="AY83" s="15">
        <v>4.542262</v>
      </c>
      <c r="AZ83" s="26">
        <f t="shared" si="8"/>
        <v>0.00006358034535</v>
      </c>
    </row>
    <row r="84">
      <c r="B84" s="20" t="s">
        <v>107</v>
      </c>
      <c r="C84" s="21">
        <v>1031.0</v>
      </c>
      <c r="D84" s="22">
        <v>4.28078661493695</v>
      </c>
      <c r="E84" s="23">
        <v>4.413491</v>
      </c>
      <c r="F84" s="24">
        <f t="shared" si="1"/>
        <v>0.00006207264717</v>
      </c>
      <c r="G84" s="17"/>
      <c r="H84" s="4"/>
      <c r="I84" s="29"/>
      <c r="J84" s="20" t="s">
        <v>107</v>
      </c>
      <c r="K84" s="21">
        <v>1031.0</v>
      </c>
      <c r="L84" s="22">
        <v>4.32691464597478</v>
      </c>
      <c r="M84" s="23">
        <v>4.461049</v>
      </c>
      <c r="N84" s="26">
        <f t="shared" si="2"/>
        <v>0.0000624864616</v>
      </c>
      <c r="O84" s="3"/>
      <c r="P84" s="20" t="s">
        <v>125</v>
      </c>
      <c r="Q84" s="14">
        <v>1026.0</v>
      </c>
      <c r="R84" s="15">
        <v>4.72801364522417</v>
      </c>
      <c r="S84" s="15">
        <v>4.850942</v>
      </c>
      <c r="T84" s="26">
        <f t="shared" si="3"/>
        <v>0.00006811136016</v>
      </c>
      <c r="V84" s="20" t="s">
        <v>125</v>
      </c>
      <c r="W84" s="21">
        <v>1026.0</v>
      </c>
      <c r="X84" s="22">
        <v>4.60515886939571</v>
      </c>
      <c r="Y84" s="23">
        <v>4.724893</v>
      </c>
      <c r="Z84" s="24">
        <f t="shared" si="4"/>
        <v>0.00006586887911</v>
      </c>
      <c r="AA84" s="17"/>
      <c r="AB84" s="4"/>
      <c r="AC84" s="29"/>
      <c r="AD84" s="20" t="s">
        <v>135</v>
      </c>
      <c r="AE84" s="21">
        <v>1024.0</v>
      </c>
      <c r="AF84" s="22">
        <v>4.483189453125</v>
      </c>
      <c r="AG84" s="23">
        <v>4.590786</v>
      </c>
      <c r="AH84" s="26">
        <f t="shared" si="5"/>
        <v>0.00006367969481</v>
      </c>
      <c r="AI84" s="3"/>
      <c r="AJ84" s="20"/>
      <c r="AK84" s="14"/>
      <c r="AL84" s="15"/>
      <c r="AM84" s="15"/>
      <c r="AN84" s="26">
        <f t="shared" si="6"/>
        <v>0</v>
      </c>
      <c r="AP84" s="20"/>
      <c r="AQ84" s="21"/>
      <c r="AR84" s="22"/>
      <c r="AS84" s="23"/>
      <c r="AT84" s="26">
        <f t="shared" si="7"/>
        <v>0</v>
      </c>
      <c r="AU84" s="3"/>
      <c r="AV84" s="20" t="s">
        <v>102</v>
      </c>
      <c r="AW84" s="14">
        <v>1031.0</v>
      </c>
      <c r="AX84" s="15">
        <v>4.37209990300679</v>
      </c>
      <c r="AY84" s="15">
        <v>4.507635</v>
      </c>
      <c r="AZ84" s="26">
        <f t="shared" si="8"/>
        <v>0.00006309565367</v>
      </c>
    </row>
    <row r="85">
      <c r="B85" s="20" t="s">
        <v>101</v>
      </c>
      <c r="C85" s="21">
        <v>600.0</v>
      </c>
      <c r="D85" s="22">
        <v>7.35212666666666</v>
      </c>
      <c r="E85" s="23">
        <v>4.411276</v>
      </c>
      <c r="F85" s="24">
        <f t="shared" si="1"/>
        <v>0.00006204149475</v>
      </c>
      <c r="G85" s="17"/>
      <c r="H85" s="4"/>
      <c r="I85" s="29"/>
      <c r="J85" s="20" t="s">
        <v>133</v>
      </c>
      <c r="K85" s="21">
        <v>1024.0</v>
      </c>
      <c r="L85" s="22">
        <v>4.352478515625</v>
      </c>
      <c r="M85" s="23">
        <v>4.456938</v>
      </c>
      <c r="N85" s="26">
        <f t="shared" si="2"/>
        <v>0.00006242887831</v>
      </c>
      <c r="O85" s="3"/>
      <c r="P85" s="20" t="s">
        <v>136</v>
      </c>
      <c r="Q85" s="14">
        <v>1023.0</v>
      </c>
      <c r="R85" s="15">
        <v>4.66004007820136</v>
      </c>
      <c r="S85" s="15">
        <v>4.767221</v>
      </c>
      <c r="T85" s="26">
        <f t="shared" si="3"/>
        <v>0.00006693584596</v>
      </c>
      <c r="V85" s="20" t="s">
        <v>137</v>
      </c>
      <c r="W85" s="21">
        <v>1023.0</v>
      </c>
      <c r="X85" s="22">
        <v>4.53549853372434</v>
      </c>
      <c r="Y85" s="23">
        <v>4.639815</v>
      </c>
      <c r="Z85" s="24">
        <f t="shared" si="4"/>
        <v>0.00006468282209</v>
      </c>
      <c r="AA85" s="17"/>
      <c r="AB85" s="4"/>
      <c r="AC85" s="29"/>
      <c r="AD85" s="20" t="s">
        <v>131</v>
      </c>
      <c r="AE85" s="21">
        <v>1024.0</v>
      </c>
      <c r="AF85" s="22">
        <v>4.4797138671875</v>
      </c>
      <c r="AG85" s="23">
        <v>4.587227</v>
      </c>
      <c r="AH85" s="26">
        <f t="shared" si="5"/>
        <v>0.00006363032722</v>
      </c>
      <c r="AI85" s="3"/>
      <c r="AJ85" s="20"/>
      <c r="AK85" s="14"/>
      <c r="AL85" s="15"/>
      <c r="AM85" s="15"/>
      <c r="AN85" s="26">
        <f t="shared" si="6"/>
        <v>0</v>
      </c>
      <c r="AP85" s="20"/>
      <c r="AQ85" s="21"/>
      <c r="AR85" s="22"/>
      <c r="AS85" s="23"/>
      <c r="AT85" s="26">
        <f t="shared" si="7"/>
        <v>0</v>
      </c>
      <c r="AU85" s="3"/>
      <c r="AV85" s="20" t="s">
        <v>107</v>
      </c>
      <c r="AW85" s="14">
        <v>1031.0</v>
      </c>
      <c r="AX85" s="15">
        <v>4.34705431619786</v>
      </c>
      <c r="AY85" s="15">
        <v>4.481813</v>
      </c>
      <c r="AZ85" s="26">
        <f t="shared" si="8"/>
        <v>0.00006273421004</v>
      </c>
    </row>
    <row r="86">
      <c r="B86" s="20" t="s">
        <v>131</v>
      </c>
      <c r="C86" s="21">
        <v>1024.0</v>
      </c>
      <c r="D86" s="22">
        <v>4.2568662109375</v>
      </c>
      <c r="E86" s="23">
        <v>4.359031</v>
      </c>
      <c r="F86" s="24">
        <f t="shared" si="1"/>
        <v>0.00006130670557</v>
      </c>
      <c r="G86" s="17"/>
      <c r="H86" s="4"/>
      <c r="I86" s="29"/>
      <c r="J86" s="20" t="s">
        <v>135</v>
      </c>
      <c r="K86" s="21">
        <v>1024.0</v>
      </c>
      <c r="L86" s="22">
        <v>4.3084443359375</v>
      </c>
      <c r="M86" s="23">
        <v>4.411847</v>
      </c>
      <c r="N86" s="26">
        <f t="shared" si="2"/>
        <v>0.00006179728313</v>
      </c>
      <c r="O86" s="3"/>
      <c r="P86" s="20" t="s">
        <v>128</v>
      </c>
      <c r="Q86" s="14">
        <v>1026.0</v>
      </c>
      <c r="R86" s="15">
        <v>4.6401559454191</v>
      </c>
      <c r="S86" s="15">
        <v>4.7608</v>
      </c>
      <c r="T86" s="26">
        <f t="shared" si="3"/>
        <v>0.00006684568965</v>
      </c>
      <c r="V86" s="20" t="s">
        <v>136</v>
      </c>
      <c r="W86" s="21">
        <v>1023.0</v>
      </c>
      <c r="X86" s="22">
        <v>4.50001955034213</v>
      </c>
      <c r="Y86" s="23">
        <v>4.60352</v>
      </c>
      <c r="Z86" s="24">
        <f t="shared" si="4"/>
        <v>0.00006417684006</v>
      </c>
      <c r="AA86" s="17"/>
      <c r="AB86" s="4"/>
      <c r="AC86" s="29"/>
      <c r="AD86" s="20" t="s">
        <v>102</v>
      </c>
      <c r="AE86" s="21">
        <v>1031.0</v>
      </c>
      <c r="AF86" s="22">
        <v>4.4181435499515</v>
      </c>
      <c r="AG86" s="23">
        <v>4.555106</v>
      </c>
      <c r="AH86" s="26">
        <f t="shared" si="5"/>
        <v>0.00006318477052</v>
      </c>
      <c r="AI86" s="3"/>
      <c r="AJ86" s="20"/>
      <c r="AK86" s="14"/>
      <c r="AL86" s="15"/>
      <c r="AM86" s="15"/>
      <c r="AN86" s="26">
        <f t="shared" si="6"/>
        <v>0</v>
      </c>
      <c r="AP86" s="20"/>
      <c r="AQ86" s="21"/>
      <c r="AR86" s="22"/>
      <c r="AS86" s="23"/>
      <c r="AT86" s="26">
        <f t="shared" si="7"/>
        <v>0</v>
      </c>
      <c r="AU86" s="3"/>
      <c r="AV86" s="20" t="s">
        <v>131</v>
      </c>
      <c r="AW86" s="14">
        <v>1024.0</v>
      </c>
      <c r="AX86" s="15">
        <v>4.3063115234375</v>
      </c>
      <c r="AY86" s="15">
        <v>4.409663</v>
      </c>
      <c r="AZ86" s="26">
        <f t="shared" si="8"/>
        <v>0.00006172428989</v>
      </c>
    </row>
    <row r="87">
      <c r="B87" s="20" t="s">
        <v>134</v>
      </c>
      <c r="C87" s="21">
        <v>1024.0</v>
      </c>
      <c r="D87" s="22">
        <v>4.242279296875</v>
      </c>
      <c r="E87" s="23">
        <v>4.344094</v>
      </c>
      <c r="F87" s="24">
        <f t="shared" si="1"/>
        <v>0.00006109662717</v>
      </c>
      <c r="G87" s="17"/>
      <c r="H87" s="4"/>
      <c r="I87" s="29"/>
      <c r="J87" s="20" t="s">
        <v>84</v>
      </c>
      <c r="K87" s="21">
        <v>1039.0</v>
      </c>
      <c r="L87" s="22">
        <v>4.20690279114533</v>
      </c>
      <c r="M87" s="23">
        <v>4.370972</v>
      </c>
      <c r="N87" s="26">
        <f t="shared" si="2"/>
        <v>0.00006122474199</v>
      </c>
      <c r="O87" s="3"/>
      <c r="P87" s="20" t="s">
        <v>126</v>
      </c>
      <c r="Q87" s="14">
        <v>1026.0</v>
      </c>
      <c r="R87" s="15">
        <v>4.60894541910331</v>
      </c>
      <c r="S87" s="15">
        <v>4.728778</v>
      </c>
      <c r="T87" s="26">
        <f t="shared" si="3"/>
        <v>0.00006639607348</v>
      </c>
      <c r="V87" s="20" t="s">
        <v>131</v>
      </c>
      <c r="W87" s="21">
        <v>1026.0</v>
      </c>
      <c r="X87" s="22">
        <v>4.4663118908382</v>
      </c>
      <c r="Y87" s="23">
        <v>4.582436</v>
      </c>
      <c r="Z87" s="24">
        <f t="shared" si="4"/>
        <v>0.00006388291182</v>
      </c>
      <c r="AA87" s="17"/>
      <c r="AB87" s="4"/>
      <c r="AC87" s="29"/>
      <c r="AD87" s="20" t="s">
        <v>101</v>
      </c>
      <c r="AE87" s="21">
        <v>600.0</v>
      </c>
      <c r="AF87" s="22">
        <v>7.55843333333333</v>
      </c>
      <c r="AG87" s="23">
        <v>4.53506</v>
      </c>
      <c r="AH87" s="26">
        <f t="shared" si="5"/>
        <v>0.00006290670851</v>
      </c>
      <c r="AI87" s="3"/>
      <c r="AJ87" s="20"/>
      <c r="AK87" s="14"/>
      <c r="AL87" s="15"/>
      <c r="AM87" s="15"/>
      <c r="AN87" s="26">
        <f t="shared" si="6"/>
        <v>0</v>
      </c>
      <c r="AP87" s="20"/>
      <c r="AQ87" s="21"/>
      <c r="AR87" s="22"/>
      <c r="AS87" s="23"/>
      <c r="AT87" s="26">
        <f t="shared" si="7"/>
        <v>0</v>
      </c>
      <c r="AU87" s="3"/>
      <c r="AV87" s="20" t="s">
        <v>135</v>
      </c>
      <c r="AW87" s="14">
        <v>1024.0</v>
      </c>
      <c r="AX87" s="15">
        <v>4.2684853515625</v>
      </c>
      <c r="AY87" s="15">
        <v>4.370929</v>
      </c>
      <c r="AZ87" s="26">
        <f t="shared" si="8"/>
        <v>0.00006118211044</v>
      </c>
    </row>
    <row r="88">
      <c r="B88" s="20" t="s">
        <v>135</v>
      </c>
      <c r="C88" s="21">
        <v>1024.0</v>
      </c>
      <c r="D88" s="22">
        <v>4.2248173828125</v>
      </c>
      <c r="E88" s="23">
        <v>4.326213</v>
      </c>
      <c r="F88" s="24">
        <f t="shared" si="1"/>
        <v>0.00006084514348</v>
      </c>
      <c r="G88" s="17"/>
      <c r="H88" s="4"/>
      <c r="I88" s="29"/>
      <c r="J88" s="20" t="s">
        <v>99</v>
      </c>
      <c r="K88" s="21">
        <v>1031.0</v>
      </c>
      <c r="L88" s="22">
        <v>4.19300581959262</v>
      </c>
      <c r="M88" s="23">
        <v>4.322989</v>
      </c>
      <c r="N88" s="26">
        <f t="shared" si="2"/>
        <v>0.00006055263821</v>
      </c>
      <c r="O88" s="3"/>
      <c r="P88" s="20" t="s">
        <v>129</v>
      </c>
      <c r="Q88" s="14">
        <v>1026.0</v>
      </c>
      <c r="R88" s="15">
        <v>4.52290253411306</v>
      </c>
      <c r="S88" s="15">
        <v>4.640498</v>
      </c>
      <c r="T88" s="26">
        <f t="shared" si="3"/>
        <v>0.00006515654704</v>
      </c>
      <c r="V88" s="20" t="s">
        <v>126</v>
      </c>
      <c r="W88" s="21">
        <v>1026.0</v>
      </c>
      <c r="X88" s="22">
        <v>4.45392884990253</v>
      </c>
      <c r="Y88" s="23">
        <v>4.569731</v>
      </c>
      <c r="Z88" s="24">
        <f t="shared" si="4"/>
        <v>0.00006370579372</v>
      </c>
      <c r="AA88" s="17"/>
      <c r="AB88" s="4"/>
      <c r="AC88" s="29"/>
      <c r="AD88" s="20" t="s">
        <v>138</v>
      </c>
      <c r="AE88" s="21">
        <v>1024.0</v>
      </c>
      <c r="AF88" s="22">
        <v>4.40209375</v>
      </c>
      <c r="AG88" s="23">
        <v>4.507744</v>
      </c>
      <c r="AH88" s="26">
        <f t="shared" si="5"/>
        <v>0.00006252780291</v>
      </c>
      <c r="AI88" s="3"/>
      <c r="AJ88" s="20"/>
      <c r="AK88" s="14"/>
      <c r="AL88" s="15"/>
      <c r="AM88" s="15"/>
      <c r="AN88" s="26">
        <f t="shared" si="6"/>
        <v>0</v>
      </c>
      <c r="AP88" s="20"/>
      <c r="AQ88" s="21"/>
      <c r="AR88" s="22"/>
      <c r="AS88" s="23"/>
      <c r="AT88" s="26">
        <f t="shared" si="7"/>
        <v>0</v>
      </c>
      <c r="AU88" s="3"/>
      <c r="AV88" s="20" t="s">
        <v>138</v>
      </c>
      <c r="AW88" s="14">
        <v>1024.0</v>
      </c>
      <c r="AX88" s="15">
        <v>4.2435087890625</v>
      </c>
      <c r="AY88" s="15">
        <v>4.345353</v>
      </c>
      <c r="AZ88" s="26">
        <f t="shared" si="8"/>
        <v>0.00006082411019</v>
      </c>
    </row>
    <row r="89">
      <c r="B89" s="20" t="s">
        <v>138</v>
      </c>
      <c r="C89" s="21">
        <v>1024.0</v>
      </c>
      <c r="D89" s="22">
        <v>4.193458984375</v>
      </c>
      <c r="E89" s="23">
        <v>4.294102</v>
      </c>
      <c r="F89" s="24">
        <f t="shared" si="1"/>
        <v>0.00006039352485</v>
      </c>
      <c r="G89" s="17"/>
      <c r="H89" s="4"/>
      <c r="I89" s="29"/>
      <c r="J89" s="20" t="s">
        <v>139</v>
      </c>
      <c r="K89" s="21">
        <v>1024.0</v>
      </c>
      <c r="L89" s="22">
        <v>4.2111201171875</v>
      </c>
      <c r="M89" s="23">
        <v>4.312187</v>
      </c>
      <c r="N89" s="26">
        <f t="shared" si="2"/>
        <v>0.00006040133327</v>
      </c>
      <c r="O89" s="3"/>
      <c r="P89" s="20" t="s">
        <v>137</v>
      </c>
      <c r="Q89" s="14">
        <v>1023.0</v>
      </c>
      <c r="R89" s="15">
        <v>4.44547311827956</v>
      </c>
      <c r="S89" s="15">
        <v>4.547719</v>
      </c>
      <c r="T89" s="26">
        <f t="shared" si="3"/>
        <v>0.0000638538508</v>
      </c>
      <c r="V89" s="20" t="s">
        <v>128</v>
      </c>
      <c r="W89" s="21">
        <v>1026.0</v>
      </c>
      <c r="X89" s="22">
        <v>4.45090155945419</v>
      </c>
      <c r="Y89" s="23">
        <v>4.566625</v>
      </c>
      <c r="Z89" s="24">
        <f t="shared" si="4"/>
        <v>0.00006366249353</v>
      </c>
      <c r="AA89" s="17"/>
      <c r="AB89" s="4"/>
      <c r="AC89" s="29"/>
      <c r="AD89" s="20" t="s">
        <v>134</v>
      </c>
      <c r="AE89" s="21">
        <v>1024.0</v>
      </c>
      <c r="AF89" s="22">
        <v>4.3522509765625</v>
      </c>
      <c r="AG89" s="23">
        <v>4.456705</v>
      </c>
      <c r="AH89" s="26">
        <f t="shared" si="5"/>
        <v>0.00006181983091</v>
      </c>
      <c r="AI89" s="3"/>
      <c r="AJ89" s="20"/>
      <c r="AK89" s="14"/>
      <c r="AL89" s="15"/>
      <c r="AM89" s="15"/>
      <c r="AN89" s="26">
        <f t="shared" si="6"/>
        <v>0</v>
      </c>
      <c r="AP89" s="20"/>
      <c r="AQ89" s="21"/>
      <c r="AR89" s="22"/>
      <c r="AS89" s="23"/>
      <c r="AT89" s="26">
        <f t="shared" si="7"/>
        <v>0</v>
      </c>
      <c r="AU89" s="3"/>
      <c r="AV89" s="20" t="s">
        <v>140</v>
      </c>
      <c r="AW89" s="14">
        <v>1024.0</v>
      </c>
      <c r="AX89" s="15">
        <v>4.232076171875</v>
      </c>
      <c r="AY89" s="15">
        <v>4.333646</v>
      </c>
      <c r="AZ89" s="26">
        <f t="shared" si="8"/>
        <v>0.00006066024138</v>
      </c>
    </row>
    <row r="90">
      <c r="B90" s="20" t="s">
        <v>139</v>
      </c>
      <c r="C90" s="21">
        <v>1024.0</v>
      </c>
      <c r="D90" s="22">
        <v>4.1850537109375</v>
      </c>
      <c r="E90" s="23">
        <v>4.285495</v>
      </c>
      <c r="F90" s="24">
        <f t="shared" si="1"/>
        <v>0.00006027247344</v>
      </c>
      <c r="G90" s="17"/>
      <c r="H90" s="4"/>
      <c r="I90" s="29"/>
      <c r="J90" s="20" t="s">
        <v>138</v>
      </c>
      <c r="K90" s="21">
        <v>1024.0</v>
      </c>
      <c r="L90" s="22">
        <v>4.155880859375</v>
      </c>
      <c r="M90" s="23">
        <v>4.255622</v>
      </c>
      <c r="N90" s="26">
        <f t="shared" si="2"/>
        <v>0.00005960902036</v>
      </c>
      <c r="O90" s="3"/>
      <c r="P90" s="20" t="s">
        <v>141</v>
      </c>
      <c r="Q90" s="14">
        <v>1023.0</v>
      </c>
      <c r="R90" s="15">
        <v>4.43975268817204</v>
      </c>
      <c r="S90" s="15">
        <v>4.541867</v>
      </c>
      <c r="T90" s="26">
        <f t="shared" si="3"/>
        <v>0.00006377168373</v>
      </c>
      <c r="V90" s="20" t="s">
        <v>129</v>
      </c>
      <c r="W90" s="21">
        <v>1026.0</v>
      </c>
      <c r="X90" s="22">
        <v>4.44217446393762</v>
      </c>
      <c r="Y90" s="23">
        <v>4.557671</v>
      </c>
      <c r="Z90" s="24">
        <f t="shared" si="4"/>
        <v>0.00006353766744</v>
      </c>
      <c r="AA90" s="17"/>
      <c r="AB90" s="4"/>
      <c r="AC90" s="29"/>
      <c r="AD90" s="20" t="s">
        <v>139</v>
      </c>
      <c r="AE90" s="21">
        <v>1024.0</v>
      </c>
      <c r="AF90" s="22">
        <v>4.3206337890625</v>
      </c>
      <c r="AG90" s="23">
        <v>4.424329</v>
      </c>
      <c r="AH90" s="26">
        <f t="shared" si="5"/>
        <v>0.00006137073705</v>
      </c>
      <c r="AI90" s="3"/>
      <c r="AJ90" s="20"/>
      <c r="AK90" s="14"/>
      <c r="AL90" s="15"/>
      <c r="AM90" s="15"/>
      <c r="AN90" s="26">
        <f t="shared" si="6"/>
        <v>0</v>
      </c>
      <c r="AP90" s="20"/>
      <c r="AQ90" s="21"/>
      <c r="AR90" s="22"/>
      <c r="AS90" s="23"/>
      <c r="AT90" s="26">
        <f t="shared" si="7"/>
        <v>0</v>
      </c>
      <c r="AU90" s="3"/>
      <c r="AV90" s="20" t="s">
        <v>99</v>
      </c>
      <c r="AW90" s="14">
        <v>1031.0</v>
      </c>
      <c r="AX90" s="15">
        <v>4.1482056256062</v>
      </c>
      <c r="AY90" s="15">
        <v>4.2768</v>
      </c>
      <c r="AZ90" s="26">
        <f t="shared" si="8"/>
        <v>0.00005986453908</v>
      </c>
    </row>
    <row r="91">
      <c r="B91" s="20" t="s">
        <v>99</v>
      </c>
      <c r="C91" s="21">
        <v>1031.0</v>
      </c>
      <c r="D91" s="22">
        <v>4.13366149369544</v>
      </c>
      <c r="E91" s="23">
        <v>4.261805</v>
      </c>
      <c r="F91" s="24">
        <f t="shared" si="1"/>
        <v>0.00005993929025</v>
      </c>
      <c r="G91" s="17"/>
      <c r="H91" s="4"/>
      <c r="I91" s="29"/>
      <c r="J91" s="20" t="s">
        <v>140</v>
      </c>
      <c r="K91" s="21">
        <v>1024.0</v>
      </c>
      <c r="L91" s="22">
        <v>4.11345703125</v>
      </c>
      <c r="M91" s="23">
        <v>4.21218</v>
      </c>
      <c r="N91" s="26">
        <f t="shared" si="2"/>
        <v>0.00005900052293</v>
      </c>
      <c r="O91" s="3"/>
      <c r="P91" s="20" t="s">
        <v>102</v>
      </c>
      <c r="Q91" s="14">
        <v>1031.0</v>
      </c>
      <c r="R91" s="15">
        <v>4.36910766246362</v>
      </c>
      <c r="S91" s="15">
        <v>4.50455</v>
      </c>
      <c r="T91" s="26">
        <f t="shared" si="3"/>
        <v>0.00006324772125</v>
      </c>
      <c r="V91" s="20" t="s">
        <v>102</v>
      </c>
      <c r="W91" s="21">
        <v>1031.0</v>
      </c>
      <c r="X91" s="22">
        <v>4.41528225024248</v>
      </c>
      <c r="Y91" s="23">
        <v>4.552156</v>
      </c>
      <c r="Z91" s="24">
        <f t="shared" si="4"/>
        <v>0.00006346078382</v>
      </c>
      <c r="AA91" s="17"/>
      <c r="AB91" s="4"/>
      <c r="AC91" s="29"/>
      <c r="AD91" s="20" t="s">
        <v>84</v>
      </c>
      <c r="AE91" s="21">
        <v>1039.0</v>
      </c>
      <c r="AF91" s="22">
        <v>4.20318286814244</v>
      </c>
      <c r="AG91" s="23">
        <v>4.367107</v>
      </c>
      <c r="AH91" s="26">
        <f t="shared" si="5"/>
        <v>0.00006057699944</v>
      </c>
      <c r="AI91" s="3"/>
      <c r="AJ91" s="20"/>
      <c r="AK91" s="14"/>
      <c r="AL91" s="15"/>
      <c r="AM91" s="15"/>
      <c r="AN91" s="26">
        <f t="shared" si="6"/>
        <v>0</v>
      </c>
      <c r="AP91" s="20"/>
      <c r="AQ91" s="21"/>
      <c r="AR91" s="22"/>
      <c r="AS91" s="23"/>
      <c r="AT91" s="26">
        <f t="shared" si="7"/>
        <v>0</v>
      </c>
      <c r="AU91" s="3"/>
      <c r="AV91" s="20" t="s">
        <v>139</v>
      </c>
      <c r="AW91" s="14">
        <v>1024.0</v>
      </c>
      <c r="AX91" s="15">
        <v>4.1759658203125</v>
      </c>
      <c r="AY91" s="15">
        <v>4.276189</v>
      </c>
      <c r="AZ91" s="26">
        <f t="shared" si="8"/>
        <v>0.0000598559866</v>
      </c>
    </row>
    <row r="92">
      <c r="B92" s="20" t="s">
        <v>140</v>
      </c>
      <c r="C92" s="21">
        <v>1024.0</v>
      </c>
      <c r="D92" s="22">
        <v>4.139388671875</v>
      </c>
      <c r="E92" s="23">
        <v>4.238734</v>
      </c>
      <c r="F92" s="24">
        <f t="shared" si="1"/>
        <v>0.00005961481286</v>
      </c>
      <c r="G92" s="17"/>
      <c r="H92" s="4"/>
      <c r="I92" s="29"/>
      <c r="J92" s="20" t="s">
        <v>117</v>
      </c>
      <c r="K92" s="21">
        <v>21.0</v>
      </c>
      <c r="L92" s="22">
        <v>198.567333333333</v>
      </c>
      <c r="M92" s="23">
        <v>4.169914</v>
      </c>
      <c r="N92" s="26">
        <f t="shared" si="2"/>
        <v>0.00005840849787</v>
      </c>
      <c r="O92" s="3"/>
      <c r="P92" s="20" t="s">
        <v>142</v>
      </c>
      <c r="Q92" s="14">
        <v>156.0</v>
      </c>
      <c r="R92" s="15">
        <v>28.8266025641025</v>
      </c>
      <c r="S92" s="15">
        <v>4.49695</v>
      </c>
      <c r="T92" s="26">
        <f t="shared" si="3"/>
        <v>0.00006314101077</v>
      </c>
      <c r="V92" s="20" t="s">
        <v>135</v>
      </c>
      <c r="W92" s="21">
        <v>1026.0</v>
      </c>
      <c r="X92" s="22">
        <v>4.38156725146198</v>
      </c>
      <c r="Y92" s="23">
        <v>4.495488</v>
      </c>
      <c r="Z92" s="24">
        <f t="shared" si="4"/>
        <v>0.00006267078547</v>
      </c>
      <c r="AA92" s="17"/>
      <c r="AB92" s="4"/>
      <c r="AC92" s="29"/>
      <c r="AD92" s="20" t="s">
        <v>140</v>
      </c>
      <c r="AE92" s="21">
        <v>1024.0</v>
      </c>
      <c r="AF92" s="22">
        <v>4.1665263671875</v>
      </c>
      <c r="AG92" s="23">
        <v>4.266523</v>
      </c>
      <c r="AH92" s="26">
        <f t="shared" si="5"/>
        <v>0.00005918177901</v>
      </c>
      <c r="AI92" s="3"/>
      <c r="AJ92" s="20"/>
      <c r="AK92" s="14"/>
      <c r="AL92" s="15"/>
      <c r="AM92" s="15"/>
      <c r="AN92" s="26">
        <f t="shared" si="6"/>
        <v>0</v>
      </c>
      <c r="AP92" s="20"/>
      <c r="AQ92" s="21"/>
      <c r="AR92" s="22"/>
      <c r="AS92" s="23"/>
      <c r="AT92" s="26">
        <f t="shared" si="7"/>
        <v>0</v>
      </c>
      <c r="AU92" s="3"/>
      <c r="AV92" s="20" t="s">
        <v>84</v>
      </c>
      <c r="AW92" s="14">
        <v>1039.0</v>
      </c>
      <c r="AX92" s="15">
        <v>4.10841000962463</v>
      </c>
      <c r="AY92" s="15">
        <v>4.268638</v>
      </c>
      <c r="AZ92" s="26">
        <f t="shared" si="8"/>
        <v>0.00005975029142</v>
      </c>
    </row>
    <row r="93">
      <c r="B93" s="20" t="s">
        <v>84</v>
      </c>
      <c r="C93" s="21">
        <v>1039.0</v>
      </c>
      <c r="D93" s="22">
        <v>4.0445447545717</v>
      </c>
      <c r="E93" s="23">
        <v>4.202282</v>
      </c>
      <c r="F93" s="24">
        <f t="shared" si="1"/>
        <v>0.00005910214112</v>
      </c>
      <c r="G93" s="17"/>
      <c r="H93" s="4"/>
      <c r="I93" s="29"/>
      <c r="J93" s="20" t="s">
        <v>101</v>
      </c>
      <c r="K93" s="21">
        <v>600.0</v>
      </c>
      <c r="L93" s="22">
        <v>6.85081166666666</v>
      </c>
      <c r="M93" s="23">
        <v>4.110487</v>
      </c>
      <c r="N93" s="26">
        <f t="shared" si="2"/>
        <v>0.00005757609658</v>
      </c>
      <c r="O93" s="3"/>
      <c r="P93" s="20" t="s">
        <v>135</v>
      </c>
      <c r="Q93" s="14">
        <v>1026.0</v>
      </c>
      <c r="R93" s="15">
        <v>4.35799902534113</v>
      </c>
      <c r="S93" s="15">
        <v>4.471307</v>
      </c>
      <c r="T93" s="26">
        <f t="shared" si="3"/>
        <v>0.00006278096119</v>
      </c>
      <c r="V93" s="20" t="s">
        <v>142</v>
      </c>
      <c r="W93" s="21">
        <v>156.0</v>
      </c>
      <c r="X93" s="22">
        <v>28.8114807692307</v>
      </c>
      <c r="Y93" s="23">
        <v>4.494591</v>
      </c>
      <c r="Z93" s="24">
        <f t="shared" si="4"/>
        <v>0.00006265828056</v>
      </c>
      <c r="AA93" s="17"/>
      <c r="AB93" s="4"/>
      <c r="AC93" s="29"/>
      <c r="AD93" s="20" t="s">
        <v>114</v>
      </c>
      <c r="AE93" s="21">
        <v>450.0</v>
      </c>
      <c r="AF93" s="22">
        <v>9.15386666666666</v>
      </c>
      <c r="AG93" s="23">
        <v>4.11924</v>
      </c>
      <c r="AH93" s="26">
        <f t="shared" si="5"/>
        <v>0.00005713878758</v>
      </c>
      <c r="AI93" s="3"/>
      <c r="AJ93" s="20"/>
      <c r="AK93" s="14"/>
      <c r="AL93" s="15"/>
      <c r="AM93" s="15"/>
      <c r="AN93" s="26">
        <f t="shared" si="6"/>
        <v>0</v>
      </c>
      <c r="AP93" s="20"/>
      <c r="AQ93" s="21"/>
      <c r="AR93" s="22"/>
      <c r="AS93" s="23"/>
      <c r="AT93" s="26">
        <f t="shared" si="7"/>
        <v>0</v>
      </c>
      <c r="AU93" s="3"/>
      <c r="AV93" s="20" t="s">
        <v>101</v>
      </c>
      <c r="AW93" s="14">
        <v>600.0</v>
      </c>
      <c r="AX93" s="15">
        <v>6.89232166666666</v>
      </c>
      <c r="AY93" s="15">
        <v>4.135393</v>
      </c>
      <c r="AZ93" s="26">
        <f t="shared" si="8"/>
        <v>0.00005788519357</v>
      </c>
    </row>
    <row r="94">
      <c r="B94" s="20" t="s">
        <v>114</v>
      </c>
      <c r="C94" s="21">
        <v>450.0</v>
      </c>
      <c r="D94" s="22">
        <v>9.09372222222222</v>
      </c>
      <c r="E94" s="23">
        <v>4.092175</v>
      </c>
      <c r="F94" s="24">
        <f t="shared" si="1"/>
        <v>0.00005755356359</v>
      </c>
      <c r="G94" s="17"/>
      <c r="H94" s="4"/>
      <c r="I94" s="29"/>
      <c r="J94" s="20" t="s">
        <v>114</v>
      </c>
      <c r="K94" s="21">
        <v>450.0</v>
      </c>
      <c r="L94" s="22">
        <v>9.06105333333333</v>
      </c>
      <c r="M94" s="23">
        <v>4.077474</v>
      </c>
      <c r="N94" s="26">
        <f t="shared" si="2"/>
        <v>0.00005711367943</v>
      </c>
      <c r="O94" s="3"/>
      <c r="P94" s="20" t="s">
        <v>107</v>
      </c>
      <c r="Q94" s="14">
        <v>1031.0</v>
      </c>
      <c r="R94" s="15">
        <v>4.28265179437439</v>
      </c>
      <c r="S94" s="15">
        <v>4.415414</v>
      </c>
      <c r="T94" s="26">
        <f t="shared" si="3"/>
        <v>0.00006199617584</v>
      </c>
      <c r="V94" s="20" t="s">
        <v>141</v>
      </c>
      <c r="W94" s="21">
        <v>1023.0</v>
      </c>
      <c r="X94" s="22">
        <v>4.37445161290322</v>
      </c>
      <c r="Y94" s="23">
        <v>4.475064</v>
      </c>
      <c r="Z94" s="24">
        <f t="shared" si="4"/>
        <v>0.00006238605818</v>
      </c>
      <c r="AA94" s="17"/>
      <c r="AB94" s="4"/>
      <c r="AC94" s="29"/>
      <c r="AD94" s="20" t="s">
        <v>117</v>
      </c>
      <c r="AE94" s="21">
        <v>21.0</v>
      </c>
      <c r="AF94" s="22">
        <v>192.638571428571</v>
      </c>
      <c r="AG94" s="23">
        <v>4.04541</v>
      </c>
      <c r="AH94" s="26">
        <f t="shared" si="5"/>
        <v>0.00005611467714</v>
      </c>
      <c r="AI94" s="3"/>
      <c r="AJ94" s="20"/>
      <c r="AK94" s="14"/>
      <c r="AL94" s="15"/>
      <c r="AM94" s="15"/>
      <c r="AN94" s="26">
        <f t="shared" si="6"/>
        <v>0</v>
      </c>
      <c r="AP94" s="20"/>
      <c r="AQ94" s="21"/>
      <c r="AR94" s="22"/>
      <c r="AS94" s="23"/>
      <c r="AT94" s="26">
        <f t="shared" si="7"/>
        <v>0</v>
      </c>
      <c r="AU94" s="3"/>
      <c r="AV94" s="20" t="s">
        <v>114</v>
      </c>
      <c r="AW94" s="14">
        <v>450.0</v>
      </c>
      <c r="AX94" s="15">
        <v>8.98384222222222</v>
      </c>
      <c r="AY94" s="15">
        <v>4.042729</v>
      </c>
      <c r="AZ94" s="26">
        <f t="shared" si="8"/>
        <v>0.00005658812856</v>
      </c>
    </row>
    <row r="95">
      <c r="B95" s="20" t="s">
        <v>143</v>
      </c>
      <c r="C95" s="21">
        <v>1024.0</v>
      </c>
      <c r="D95" s="22">
        <v>3.768990234375</v>
      </c>
      <c r="E95" s="23">
        <v>3.859446</v>
      </c>
      <c r="F95" s="24">
        <f t="shared" si="1"/>
        <v>0.00005428039387</v>
      </c>
      <c r="G95" s="17"/>
      <c r="H95" s="4"/>
      <c r="I95" s="29"/>
      <c r="J95" s="20" t="s">
        <v>143</v>
      </c>
      <c r="K95" s="21">
        <v>1024.0</v>
      </c>
      <c r="L95" s="22">
        <v>3.7958740234375</v>
      </c>
      <c r="M95" s="23">
        <v>3.886975</v>
      </c>
      <c r="N95" s="26">
        <f t="shared" si="2"/>
        <v>0.00005444533653</v>
      </c>
      <c r="O95" s="3"/>
      <c r="P95" s="20" t="s">
        <v>144</v>
      </c>
      <c r="Q95" s="14">
        <v>1023.0</v>
      </c>
      <c r="R95" s="15">
        <v>4.26349560117302</v>
      </c>
      <c r="S95" s="15">
        <v>4.361556</v>
      </c>
      <c r="T95" s="26">
        <f t="shared" si="3"/>
        <v>0.00006123996361</v>
      </c>
      <c r="V95" s="20" t="s">
        <v>107</v>
      </c>
      <c r="W95" s="21">
        <v>1031.0</v>
      </c>
      <c r="X95" s="22">
        <v>4.33966246362754</v>
      </c>
      <c r="Y95" s="23">
        <v>4.474192</v>
      </c>
      <c r="Z95" s="24">
        <f t="shared" si="4"/>
        <v>0.00006237390179</v>
      </c>
      <c r="AA95" s="17"/>
      <c r="AB95" s="4"/>
      <c r="AC95" s="29"/>
      <c r="AD95" s="20" t="s">
        <v>143</v>
      </c>
      <c r="AE95" s="21">
        <v>1024.0</v>
      </c>
      <c r="AF95" s="22">
        <v>3.8745322265625</v>
      </c>
      <c r="AG95" s="23">
        <v>3.967521</v>
      </c>
      <c r="AH95" s="26">
        <f t="shared" si="5"/>
        <v>0.00005503426351</v>
      </c>
      <c r="AI95" s="3"/>
      <c r="AJ95" s="20"/>
      <c r="AK95" s="14"/>
      <c r="AL95" s="15"/>
      <c r="AM95" s="15"/>
      <c r="AN95" s="26">
        <f t="shared" si="6"/>
        <v>0</v>
      </c>
      <c r="AP95" s="20"/>
      <c r="AQ95" s="21"/>
      <c r="AR95" s="22"/>
      <c r="AS95" s="23"/>
      <c r="AT95" s="26">
        <f t="shared" si="7"/>
        <v>0</v>
      </c>
      <c r="AU95" s="3"/>
      <c r="AV95" s="20" t="s">
        <v>145</v>
      </c>
      <c r="AW95" s="14">
        <v>21.0</v>
      </c>
      <c r="AX95" s="15">
        <v>185.729142857142</v>
      </c>
      <c r="AY95" s="15">
        <v>3.900312</v>
      </c>
      <c r="AZ95" s="26">
        <f t="shared" si="8"/>
        <v>0.00005459464556</v>
      </c>
    </row>
    <row r="96">
      <c r="B96" s="20" t="s">
        <v>117</v>
      </c>
      <c r="C96" s="21">
        <v>21.0</v>
      </c>
      <c r="D96" s="22">
        <v>177.665619047619</v>
      </c>
      <c r="E96" s="23">
        <v>3.730978</v>
      </c>
      <c r="F96" s="24">
        <f t="shared" si="1"/>
        <v>0.0000524735818</v>
      </c>
      <c r="G96" s="17"/>
      <c r="H96" s="4"/>
      <c r="I96" s="29"/>
      <c r="J96" s="20" t="s">
        <v>145</v>
      </c>
      <c r="K96" s="21">
        <v>21.0</v>
      </c>
      <c r="L96" s="22">
        <v>179.413571428571</v>
      </c>
      <c r="M96" s="23">
        <v>3.767685</v>
      </c>
      <c r="N96" s="26">
        <f t="shared" si="2"/>
        <v>0.00005277442683</v>
      </c>
      <c r="O96" s="3"/>
      <c r="P96" s="20" t="s">
        <v>140</v>
      </c>
      <c r="Q96" s="14">
        <v>1026.0</v>
      </c>
      <c r="R96" s="15">
        <v>4.21879824561403</v>
      </c>
      <c r="S96" s="15">
        <v>4.328487</v>
      </c>
      <c r="T96" s="26">
        <f t="shared" si="3"/>
        <v>0.00006077564667</v>
      </c>
      <c r="V96" s="20" t="s">
        <v>84</v>
      </c>
      <c r="W96" s="21">
        <v>1037.0</v>
      </c>
      <c r="X96" s="22">
        <v>4.2507425265188</v>
      </c>
      <c r="Y96" s="23">
        <v>4.40802</v>
      </c>
      <c r="Z96" s="24">
        <f t="shared" si="4"/>
        <v>0.0000614514099</v>
      </c>
      <c r="AA96" s="17"/>
      <c r="AB96" s="4"/>
      <c r="AC96" s="29"/>
      <c r="AD96" s="20" t="s">
        <v>123</v>
      </c>
      <c r="AE96" s="21">
        <v>21.0</v>
      </c>
      <c r="AF96" s="22">
        <v>177.840666666666</v>
      </c>
      <c r="AG96" s="23">
        <v>3.734654</v>
      </c>
      <c r="AH96" s="26">
        <f t="shared" si="5"/>
        <v>0.00005180411959</v>
      </c>
      <c r="AI96" s="3"/>
      <c r="AJ96" s="20"/>
      <c r="AK96" s="14"/>
      <c r="AL96" s="15"/>
      <c r="AM96" s="15"/>
      <c r="AN96" s="26">
        <f t="shared" si="6"/>
        <v>0</v>
      </c>
      <c r="AP96" s="20"/>
      <c r="AQ96" s="21"/>
      <c r="AR96" s="22"/>
      <c r="AS96" s="23"/>
      <c r="AT96" s="26">
        <f t="shared" si="7"/>
        <v>0</v>
      </c>
      <c r="AU96" s="3"/>
      <c r="AV96" s="20" t="s">
        <v>143</v>
      </c>
      <c r="AW96" s="14">
        <v>1024.0</v>
      </c>
      <c r="AX96" s="15">
        <v>3.8016591796875</v>
      </c>
      <c r="AY96" s="15">
        <v>3.892899</v>
      </c>
      <c r="AZ96" s="26">
        <f t="shared" si="8"/>
        <v>0.00005449088204</v>
      </c>
    </row>
    <row r="97">
      <c r="B97" s="20" t="s">
        <v>113</v>
      </c>
      <c r="C97" s="21">
        <v>768.0</v>
      </c>
      <c r="D97" s="22">
        <v>4.74738541666666</v>
      </c>
      <c r="E97" s="23">
        <v>3.645992</v>
      </c>
      <c r="F97" s="24">
        <f t="shared" si="1"/>
        <v>0.00005127831347</v>
      </c>
      <c r="G97" s="17"/>
      <c r="H97" s="4"/>
      <c r="I97" s="29"/>
      <c r="J97" s="20" t="s">
        <v>113</v>
      </c>
      <c r="K97" s="21">
        <v>768.0</v>
      </c>
      <c r="L97" s="22">
        <v>4.60630208333333</v>
      </c>
      <c r="M97" s="23">
        <v>3.53764</v>
      </c>
      <c r="N97" s="26">
        <f t="shared" si="2"/>
        <v>0.00004955215825</v>
      </c>
      <c r="O97" s="3"/>
      <c r="P97" s="20" t="s">
        <v>131</v>
      </c>
      <c r="Q97" s="14">
        <v>1026.0</v>
      </c>
      <c r="R97" s="15">
        <v>4.20949220272904</v>
      </c>
      <c r="S97" s="15">
        <v>4.318939</v>
      </c>
      <c r="T97" s="26">
        <f t="shared" si="3"/>
        <v>0.00006064158461</v>
      </c>
      <c r="V97" s="20" t="s">
        <v>140</v>
      </c>
      <c r="W97" s="21">
        <v>1026.0</v>
      </c>
      <c r="X97" s="22">
        <v>4.24870175438596</v>
      </c>
      <c r="Y97" s="23">
        <v>4.359168</v>
      </c>
      <c r="Z97" s="24">
        <f t="shared" si="4"/>
        <v>0.000060770373</v>
      </c>
      <c r="AA97" s="17"/>
      <c r="AB97" s="4"/>
      <c r="AC97" s="29"/>
      <c r="AD97" s="20" t="s">
        <v>113</v>
      </c>
      <c r="AE97" s="21">
        <v>768.0</v>
      </c>
      <c r="AF97" s="22">
        <v>4.83871614583333</v>
      </c>
      <c r="AG97" s="23">
        <v>3.716134</v>
      </c>
      <c r="AH97" s="26">
        <f t="shared" si="5"/>
        <v>0.00005154722503</v>
      </c>
      <c r="AI97" s="3"/>
      <c r="AJ97" s="20"/>
      <c r="AK97" s="14"/>
      <c r="AL97" s="15"/>
      <c r="AM97" s="15"/>
      <c r="AN97" s="26">
        <f t="shared" si="6"/>
        <v>0</v>
      </c>
      <c r="AP97" s="20"/>
      <c r="AQ97" s="21"/>
      <c r="AR97" s="22"/>
      <c r="AS97" s="23"/>
      <c r="AT97" s="26">
        <f t="shared" si="7"/>
        <v>0</v>
      </c>
      <c r="AU97" s="3"/>
      <c r="AV97" s="20" t="s">
        <v>113</v>
      </c>
      <c r="AW97" s="14">
        <v>768.0</v>
      </c>
      <c r="AX97" s="15">
        <v>4.74519921875</v>
      </c>
      <c r="AY97" s="15">
        <v>3.644313</v>
      </c>
      <c r="AZ97" s="26">
        <f t="shared" si="8"/>
        <v>0.0000510112977</v>
      </c>
    </row>
    <row r="98">
      <c r="B98" s="20" t="s">
        <v>146</v>
      </c>
      <c r="C98" s="21">
        <v>21.0</v>
      </c>
      <c r="D98" s="22">
        <v>119.03019047619</v>
      </c>
      <c r="E98" s="23">
        <v>2.499634</v>
      </c>
      <c r="F98" s="24">
        <f t="shared" si="1"/>
        <v>0.00003515559437</v>
      </c>
      <c r="G98" s="17"/>
      <c r="H98" s="4"/>
      <c r="I98" s="29"/>
      <c r="J98" s="20" t="s">
        <v>142</v>
      </c>
      <c r="K98" s="21">
        <v>78.0</v>
      </c>
      <c r="L98" s="22">
        <v>24.6979358974358</v>
      </c>
      <c r="M98" s="23">
        <v>1.926439</v>
      </c>
      <c r="N98" s="26">
        <f t="shared" si="2"/>
        <v>0.00002698386783</v>
      </c>
      <c r="O98" s="3"/>
      <c r="P98" s="20" t="s">
        <v>99</v>
      </c>
      <c r="Q98" s="14">
        <v>1031.0</v>
      </c>
      <c r="R98" s="15">
        <v>4.13677012609117</v>
      </c>
      <c r="S98" s="15">
        <v>4.26501</v>
      </c>
      <c r="T98" s="26">
        <f t="shared" si="3"/>
        <v>0.00005988437549</v>
      </c>
      <c r="V98" s="20" t="s">
        <v>99</v>
      </c>
      <c r="W98" s="21">
        <v>1031.0</v>
      </c>
      <c r="X98" s="22">
        <v>4.19545392822502</v>
      </c>
      <c r="Y98" s="23">
        <v>4.325513</v>
      </c>
      <c r="Z98" s="24">
        <f t="shared" si="4"/>
        <v>0.00006030119473</v>
      </c>
      <c r="AA98" s="17"/>
      <c r="AB98" s="4"/>
      <c r="AC98" s="29"/>
      <c r="AD98" s="20" t="s">
        <v>142</v>
      </c>
      <c r="AE98" s="21">
        <v>78.0</v>
      </c>
      <c r="AF98" s="22">
        <v>26.0028717948717</v>
      </c>
      <c r="AG98" s="23">
        <v>2.028224</v>
      </c>
      <c r="AH98" s="26">
        <f t="shared" si="5"/>
        <v>0.0000281338937</v>
      </c>
      <c r="AI98" s="3"/>
      <c r="AJ98" s="20"/>
      <c r="AK98" s="14"/>
      <c r="AL98" s="15"/>
      <c r="AM98" s="15"/>
      <c r="AN98" s="26">
        <f t="shared" si="6"/>
        <v>0</v>
      </c>
      <c r="AP98" s="20"/>
      <c r="AQ98" s="21"/>
      <c r="AR98" s="22"/>
      <c r="AS98" s="23"/>
      <c r="AT98" s="26">
        <f t="shared" si="7"/>
        <v>0</v>
      </c>
      <c r="AU98" s="3"/>
      <c r="AV98" s="20" t="s">
        <v>146</v>
      </c>
      <c r="AW98" s="14">
        <v>21.0</v>
      </c>
      <c r="AX98" s="15">
        <v>117.673523809523</v>
      </c>
      <c r="AY98" s="15">
        <v>2.471144</v>
      </c>
      <c r="AZ98" s="26">
        <f t="shared" si="8"/>
        <v>0.0000345898561</v>
      </c>
    </row>
    <row r="99">
      <c r="B99" s="20" t="s">
        <v>119</v>
      </c>
      <c r="C99" s="21">
        <v>225.0</v>
      </c>
      <c r="D99" s="22">
        <v>9.96241333333333</v>
      </c>
      <c r="E99" s="23">
        <v>2.241543</v>
      </c>
      <c r="F99" s="24">
        <f t="shared" si="1"/>
        <v>0.00003152572595</v>
      </c>
      <c r="G99" s="17"/>
      <c r="H99" s="4"/>
      <c r="I99" s="29"/>
      <c r="J99" s="20" t="s">
        <v>115</v>
      </c>
      <c r="K99" s="21">
        <v>225.0</v>
      </c>
      <c r="L99" s="22">
        <v>6.78247111111111</v>
      </c>
      <c r="M99" s="23">
        <v>1.526056</v>
      </c>
      <c r="N99" s="26">
        <f t="shared" si="2"/>
        <v>0.00002137565394</v>
      </c>
      <c r="O99" s="3"/>
      <c r="P99" s="20" t="s">
        <v>103</v>
      </c>
      <c r="Q99" s="14">
        <v>1023.0</v>
      </c>
      <c r="R99" s="15">
        <v>4.14755425219941</v>
      </c>
      <c r="S99" s="15">
        <v>4.242948</v>
      </c>
      <c r="T99" s="26">
        <f t="shared" si="3"/>
        <v>0.0000595746062</v>
      </c>
      <c r="V99" s="20" t="s">
        <v>139</v>
      </c>
      <c r="W99" s="21">
        <v>1026.0</v>
      </c>
      <c r="X99" s="22">
        <v>4.21169005847953</v>
      </c>
      <c r="Y99" s="23">
        <v>4.321194</v>
      </c>
      <c r="Z99" s="24">
        <f t="shared" si="4"/>
        <v>0.00006024098433</v>
      </c>
      <c r="AA99" s="17"/>
      <c r="AB99" s="4"/>
      <c r="AC99" s="29"/>
      <c r="AD99" s="20" t="s">
        <v>146</v>
      </c>
      <c r="AE99" s="21">
        <v>21.0</v>
      </c>
      <c r="AF99" s="22">
        <v>75.3609523809523</v>
      </c>
      <c r="AG99" s="23">
        <v>1.58258</v>
      </c>
      <c r="AH99" s="26">
        <f t="shared" si="5"/>
        <v>0.0000219522782</v>
      </c>
      <c r="AI99" s="3"/>
      <c r="AJ99" s="20"/>
      <c r="AK99" s="14"/>
      <c r="AL99" s="15"/>
      <c r="AM99" s="15"/>
      <c r="AN99" s="26">
        <f t="shared" si="6"/>
        <v>0</v>
      </c>
      <c r="AP99" s="20"/>
      <c r="AQ99" s="21"/>
      <c r="AR99" s="22"/>
      <c r="AS99" s="23"/>
      <c r="AT99" s="26">
        <f t="shared" si="7"/>
        <v>0</v>
      </c>
      <c r="AU99" s="3"/>
      <c r="AV99" s="20" t="s">
        <v>142</v>
      </c>
      <c r="AW99" s="14">
        <v>78.0</v>
      </c>
      <c r="AX99" s="15">
        <v>23.3928205128205</v>
      </c>
      <c r="AY99" s="15">
        <v>1.82464</v>
      </c>
      <c r="AZ99" s="26">
        <f t="shared" si="8"/>
        <v>0.00002554041166</v>
      </c>
    </row>
    <row r="100">
      <c r="B100" s="20" t="s">
        <v>142</v>
      </c>
      <c r="C100" s="21">
        <v>78.0</v>
      </c>
      <c r="D100" s="22">
        <v>25.5947179487179</v>
      </c>
      <c r="E100" s="23">
        <v>1.996388</v>
      </c>
      <c r="F100" s="24">
        <f t="shared" si="1"/>
        <v>0.00002807779328</v>
      </c>
      <c r="G100" s="17"/>
      <c r="H100" s="4"/>
      <c r="I100" s="29"/>
      <c r="J100" s="20" t="s">
        <v>146</v>
      </c>
      <c r="K100" s="21">
        <v>21.0</v>
      </c>
      <c r="L100" s="22">
        <v>72.404238095238</v>
      </c>
      <c r="M100" s="23">
        <v>1.520489</v>
      </c>
      <c r="N100" s="26">
        <f t="shared" si="2"/>
        <v>0.00002129767629</v>
      </c>
      <c r="O100" s="3"/>
      <c r="P100" s="20" t="s">
        <v>139</v>
      </c>
      <c r="Q100" s="14">
        <v>1026.0</v>
      </c>
      <c r="R100" s="15">
        <v>4.08043762183235</v>
      </c>
      <c r="S100" s="15">
        <v>4.186529</v>
      </c>
      <c r="T100" s="26">
        <f t="shared" si="3"/>
        <v>0.00005878243536</v>
      </c>
      <c r="V100" s="20" t="s">
        <v>103</v>
      </c>
      <c r="W100" s="21">
        <v>1023.0</v>
      </c>
      <c r="X100" s="22">
        <v>4.17686803519061</v>
      </c>
      <c r="Y100" s="23">
        <v>4.272936</v>
      </c>
      <c r="Z100" s="24">
        <f t="shared" si="4"/>
        <v>0.00005956822828</v>
      </c>
      <c r="AA100" s="17"/>
      <c r="AB100" s="4"/>
      <c r="AC100" s="29"/>
      <c r="AD100" s="20" t="s">
        <v>115</v>
      </c>
      <c r="AE100" s="21">
        <v>225.0</v>
      </c>
      <c r="AF100" s="22">
        <v>5.97940888888888</v>
      </c>
      <c r="AG100" s="23">
        <v>1.345367</v>
      </c>
      <c r="AH100" s="26">
        <f t="shared" si="5"/>
        <v>0.00001866185006</v>
      </c>
      <c r="AI100" s="3"/>
      <c r="AJ100" s="20"/>
      <c r="AK100" s="14"/>
      <c r="AL100" s="15"/>
      <c r="AM100" s="15"/>
      <c r="AN100" s="26">
        <f t="shared" si="6"/>
        <v>0</v>
      </c>
      <c r="AP100" s="20"/>
      <c r="AQ100" s="21"/>
      <c r="AR100" s="22"/>
      <c r="AS100" s="23"/>
      <c r="AT100" s="26">
        <f t="shared" si="7"/>
        <v>0</v>
      </c>
      <c r="AU100" s="3"/>
      <c r="AV100" s="20" t="s">
        <v>115</v>
      </c>
      <c r="AW100" s="14">
        <v>225.0</v>
      </c>
      <c r="AX100" s="15">
        <v>6.13044888888888</v>
      </c>
      <c r="AY100" s="15">
        <v>1.379351</v>
      </c>
      <c r="AZ100" s="26">
        <f t="shared" si="8"/>
        <v>0.00001930747565</v>
      </c>
    </row>
    <row r="101">
      <c r="B101" s="20" t="s">
        <v>115</v>
      </c>
      <c r="C101" s="21">
        <v>225.0</v>
      </c>
      <c r="D101" s="22">
        <v>5.98404444444444</v>
      </c>
      <c r="E101" s="23">
        <v>1.34641</v>
      </c>
      <c r="F101" s="24">
        <f t="shared" si="1"/>
        <v>0.0000189363098</v>
      </c>
      <c r="G101" s="17"/>
      <c r="H101" s="4"/>
      <c r="I101" s="29"/>
      <c r="J101" s="20" t="s">
        <v>119</v>
      </c>
      <c r="K101" s="21">
        <v>225.0</v>
      </c>
      <c r="L101" s="22">
        <v>6.02435111111111</v>
      </c>
      <c r="M101" s="23">
        <v>1.355479</v>
      </c>
      <c r="N101" s="26">
        <f t="shared" si="2"/>
        <v>0.00001898636094</v>
      </c>
      <c r="O101" s="3"/>
      <c r="P101" s="20" t="s">
        <v>84</v>
      </c>
      <c r="Q101" s="14">
        <v>1037.0</v>
      </c>
      <c r="R101" s="15">
        <v>4.03189488910318</v>
      </c>
      <c r="S101" s="15">
        <v>4.181075</v>
      </c>
      <c r="T101" s="26">
        <f t="shared" si="3"/>
        <v>0.00005870585655</v>
      </c>
      <c r="V101" s="20" t="s">
        <v>144</v>
      </c>
      <c r="W101" s="21">
        <v>1023.0</v>
      </c>
      <c r="X101" s="22">
        <v>4.17565493646138</v>
      </c>
      <c r="Y101" s="23">
        <v>4.271695</v>
      </c>
      <c r="Z101" s="24">
        <f t="shared" si="4"/>
        <v>0.00005955092772</v>
      </c>
      <c r="AA101" s="17"/>
      <c r="AB101" s="4"/>
      <c r="AC101" s="29"/>
      <c r="AD101" s="20" t="s">
        <v>119</v>
      </c>
      <c r="AE101" s="21">
        <v>225.0</v>
      </c>
      <c r="AF101" s="22">
        <v>5.75177777777777</v>
      </c>
      <c r="AG101" s="23">
        <v>1.29415</v>
      </c>
      <c r="AH101" s="26">
        <f t="shared" si="5"/>
        <v>0.00001795140898</v>
      </c>
      <c r="AI101" s="3"/>
      <c r="AJ101" s="20"/>
      <c r="AK101" s="14"/>
      <c r="AL101" s="15"/>
      <c r="AM101" s="15"/>
      <c r="AN101" s="26">
        <f t="shared" si="6"/>
        <v>0</v>
      </c>
      <c r="AP101" s="20"/>
      <c r="AQ101" s="21"/>
      <c r="AR101" s="22"/>
      <c r="AS101" s="23"/>
      <c r="AT101" s="26">
        <f t="shared" si="7"/>
        <v>0</v>
      </c>
      <c r="AU101" s="3"/>
      <c r="AV101" s="20" t="s">
        <v>119</v>
      </c>
      <c r="AW101" s="14">
        <v>225.0</v>
      </c>
      <c r="AX101" s="15">
        <v>5.95720888888888</v>
      </c>
      <c r="AY101" s="15">
        <v>1.340372</v>
      </c>
      <c r="AZ101" s="26">
        <f t="shared" si="8"/>
        <v>0.00001876186681</v>
      </c>
    </row>
    <row r="102">
      <c r="B102" s="20" t="s">
        <v>116</v>
      </c>
      <c r="C102" s="21">
        <v>225.0</v>
      </c>
      <c r="D102" s="22">
        <v>4.82331111111111</v>
      </c>
      <c r="E102" s="23">
        <v>1.085245</v>
      </c>
      <c r="F102" s="24">
        <f t="shared" si="1"/>
        <v>0.00001526320774</v>
      </c>
      <c r="G102" s="17"/>
      <c r="H102" s="4"/>
      <c r="I102" s="29"/>
      <c r="J102" s="20" t="s">
        <v>116</v>
      </c>
      <c r="K102" s="21">
        <v>225.0</v>
      </c>
      <c r="L102" s="22">
        <v>5.30680444444444</v>
      </c>
      <c r="M102" s="23">
        <v>1.194031</v>
      </c>
      <c r="N102" s="26">
        <f t="shared" si="2"/>
        <v>0.00001672493896</v>
      </c>
      <c r="O102" s="3"/>
      <c r="P102" s="20" t="s">
        <v>114</v>
      </c>
      <c r="Q102" s="14">
        <v>450.0</v>
      </c>
      <c r="R102" s="15">
        <v>8.93487555555555</v>
      </c>
      <c r="S102" s="15">
        <v>4.020694</v>
      </c>
      <c r="T102" s="26">
        <f t="shared" si="3"/>
        <v>0.00005645397061</v>
      </c>
      <c r="V102" s="20" t="s">
        <v>114</v>
      </c>
      <c r="W102" s="21">
        <v>450.0</v>
      </c>
      <c r="X102" s="22">
        <v>9.07771333333333</v>
      </c>
      <c r="Y102" s="23">
        <v>4.084971</v>
      </c>
      <c r="Z102" s="24">
        <f t="shared" si="4"/>
        <v>0.00005694784219</v>
      </c>
      <c r="AA102" s="17"/>
      <c r="AB102" s="4"/>
      <c r="AC102" s="29"/>
      <c r="AD102" s="20" t="s">
        <v>116</v>
      </c>
      <c r="AE102" s="21">
        <v>225.0</v>
      </c>
      <c r="AF102" s="22">
        <v>5.57588444444444</v>
      </c>
      <c r="AG102" s="23">
        <v>1.254574</v>
      </c>
      <c r="AH102" s="26">
        <f t="shared" si="5"/>
        <v>0.00001740244251</v>
      </c>
      <c r="AI102" s="3"/>
      <c r="AJ102" s="20"/>
      <c r="AK102" s="14"/>
      <c r="AL102" s="15"/>
      <c r="AM102" s="15"/>
      <c r="AN102" s="26">
        <f t="shared" si="6"/>
        <v>0</v>
      </c>
      <c r="AP102" s="20"/>
      <c r="AQ102" s="21"/>
      <c r="AR102" s="22"/>
      <c r="AS102" s="23"/>
      <c r="AT102" s="26">
        <f t="shared" si="7"/>
        <v>0</v>
      </c>
      <c r="AU102" s="3"/>
      <c r="AV102" s="20" t="s">
        <v>116</v>
      </c>
      <c r="AW102" s="14">
        <v>225.0</v>
      </c>
      <c r="AX102" s="15">
        <v>4.99364444444444</v>
      </c>
      <c r="AY102" s="15">
        <v>1.12357</v>
      </c>
      <c r="AZ102" s="26">
        <f t="shared" si="8"/>
        <v>0.00001572717924</v>
      </c>
    </row>
    <row r="103">
      <c r="B103" s="20" t="s">
        <v>121</v>
      </c>
      <c r="C103" s="21">
        <v>4.0</v>
      </c>
      <c r="D103" s="22">
        <v>75.491</v>
      </c>
      <c r="E103" s="23">
        <v>0.301964</v>
      </c>
      <c r="F103" s="24">
        <f t="shared" si="1"/>
        <v>0.000004246911307</v>
      </c>
      <c r="G103" s="17"/>
      <c r="H103" s="4"/>
      <c r="I103" s="29"/>
      <c r="J103" s="20" t="s">
        <v>121</v>
      </c>
      <c r="K103" s="21">
        <v>4.0</v>
      </c>
      <c r="L103" s="22">
        <v>75.221</v>
      </c>
      <c r="M103" s="23">
        <v>0.300884</v>
      </c>
      <c r="N103" s="26">
        <f t="shared" si="2"/>
        <v>0.000004214519166</v>
      </c>
      <c r="O103" s="3"/>
      <c r="P103" s="20" t="s">
        <v>101</v>
      </c>
      <c r="Q103" s="14">
        <v>525.0</v>
      </c>
      <c r="R103" s="15">
        <v>7.25991809523809</v>
      </c>
      <c r="S103" s="15">
        <v>3.811457</v>
      </c>
      <c r="T103" s="26">
        <f t="shared" si="3"/>
        <v>0.0000535161048</v>
      </c>
      <c r="V103" s="20" t="s">
        <v>143</v>
      </c>
      <c r="W103" s="21">
        <v>1026.0</v>
      </c>
      <c r="X103" s="22">
        <v>3.70064814814814</v>
      </c>
      <c r="Y103" s="23">
        <v>3.796865</v>
      </c>
      <c r="Z103" s="24">
        <f t="shared" si="4"/>
        <v>0.00005293140853</v>
      </c>
      <c r="AA103" s="17"/>
      <c r="AB103" s="4"/>
      <c r="AC103" s="29"/>
      <c r="AD103" s="20" t="s">
        <v>121</v>
      </c>
      <c r="AE103" s="21">
        <v>4.0</v>
      </c>
      <c r="AF103" s="22">
        <v>75.33175</v>
      </c>
      <c r="AG103" s="23">
        <v>0.301327</v>
      </c>
      <c r="AH103" s="26">
        <f t="shared" si="5"/>
        <v>0.000004179766035</v>
      </c>
      <c r="AI103" s="3"/>
      <c r="AJ103" s="20"/>
      <c r="AK103" s="14"/>
      <c r="AL103" s="15"/>
      <c r="AM103" s="15"/>
      <c r="AN103" s="26">
        <f t="shared" si="6"/>
        <v>0</v>
      </c>
      <c r="AP103" s="20"/>
      <c r="AQ103" s="21"/>
      <c r="AR103" s="22"/>
      <c r="AS103" s="23"/>
      <c r="AT103" s="26">
        <f t="shared" si="7"/>
        <v>0</v>
      </c>
      <c r="AU103" s="3"/>
      <c r="AV103" s="20" t="s">
        <v>121</v>
      </c>
      <c r="AW103" s="14">
        <v>4.0</v>
      </c>
      <c r="AX103" s="15">
        <v>76.2725</v>
      </c>
      <c r="AY103" s="15">
        <v>0.30509</v>
      </c>
      <c r="AZ103" s="26">
        <f t="shared" si="8"/>
        <v>0.000004270499492</v>
      </c>
    </row>
    <row r="104">
      <c r="B104" s="20" t="s">
        <v>147</v>
      </c>
      <c r="C104" s="21">
        <v>21.0</v>
      </c>
      <c r="D104" s="22">
        <v>10.7082857142857</v>
      </c>
      <c r="E104" s="23">
        <v>0.224874</v>
      </c>
      <c r="F104" s="24">
        <f t="shared" si="1"/>
        <v>0.00000316269467</v>
      </c>
      <c r="G104" s="17"/>
      <c r="H104" s="4"/>
      <c r="I104" s="29"/>
      <c r="J104" s="20" t="s">
        <v>147</v>
      </c>
      <c r="K104" s="21">
        <v>21.0</v>
      </c>
      <c r="L104" s="22">
        <v>10.8858095238095</v>
      </c>
      <c r="M104" s="23">
        <v>0.228602</v>
      </c>
      <c r="N104" s="26">
        <f t="shared" si="2"/>
        <v>0.000003202056309</v>
      </c>
      <c r="O104" s="3"/>
      <c r="P104" s="20" t="s">
        <v>143</v>
      </c>
      <c r="Q104" s="14">
        <v>1026.0</v>
      </c>
      <c r="R104" s="15">
        <v>3.70038596491228</v>
      </c>
      <c r="S104" s="15">
        <v>3.796596</v>
      </c>
      <c r="T104" s="26">
        <f t="shared" si="3"/>
        <v>0.00005330744369</v>
      </c>
      <c r="V104" s="20" t="s">
        <v>101</v>
      </c>
      <c r="W104" s="21">
        <v>525.0</v>
      </c>
      <c r="X104" s="22">
        <v>6.58747809523809</v>
      </c>
      <c r="Y104" s="23">
        <v>3.458426</v>
      </c>
      <c r="Z104" s="24">
        <f t="shared" si="4"/>
        <v>0.00004821329162</v>
      </c>
      <c r="AA104" s="17"/>
      <c r="AB104" s="4"/>
      <c r="AC104" s="29"/>
      <c r="AD104" s="20" t="s">
        <v>147</v>
      </c>
      <c r="AE104" s="21">
        <v>21.0</v>
      </c>
      <c r="AF104" s="22">
        <v>11.1432857142857</v>
      </c>
      <c r="AG104" s="23">
        <v>0.234009</v>
      </c>
      <c r="AH104" s="26">
        <f t="shared" si="5"/>
        <v>0.000003245984828</v>
      </c>
      <c r="AI104" s="3"/>
      <c r="AJ104" s="20"/>
      <c r="AK104" s="14"/>
      <c r="AL104" s="15"/>
      <c r="AM104" s="15"/>
      <c r="AN104" s="26">
        <f t="shared" si="6"/>
        <v>0</v>
      </c>
      <c r="AP104" s="20"/>
      <c r="AQ104" s="21"/>
      <c r="AR104" s="22"/>
      <c r="AS104" s="23"/>
      <c r="AT104" s="26">
        <f t="shared" si="7"/>
        <v>0</v>
      </c>
      <c r="AU104" s="3"/>
      <c r="AV104" s="20" t="s">
        <v>147</v>
      </c>
      <c r="AW104" s="14">
        <v>21.0</v>
      </c>
      <c r="AX104" s="15">
        <v>11.196619047619</v>
      </c>
      <c r="AY104" s="15">
        <v>0.235129</v>
      </c>
      <c r="AZ104" s="26">
        <f t="shared" si="8"/>
        <v>0.000003291219886</v>
      </c>
    </row>
    <row r="105">
      <c r="B105" s="20" t="s">
        <v>148</v>
      </c>
      <c r="C105" s="21">
        <v>20.0</v>
      </c>
      <c r="D105" s="22">
        <v>5.27895</v>
      </c>
      <c r="E105" s="23">
        <v>0.105579</v>
      </c>
      <c r="F105" s="24">
        <f t="shared" si="1"/>
        <v>0.000001484894388</v>
      </c>
      <c r="G105" s="17"/>
      <c r="H105" s="4"/>
      <c r="I105" s="29"/>
      <c r="J105" s="20" t="s">
        <v>148</v>
      </c>
      <c r="K105" s="21">
        <v>20.0</v>
      </c>
      <c r="L105" s="22">
        <v>6.10025</v>
      </c>
      <c r="M105" s="23">
        <v>0.122005</v>
      </c>
      <c r="N105" s="26">
        <f t="shared" si="2"/>
        <v>0.000001708939029</v>
      </c>
      <c r="O105" s="3"/>
      <c r="P105" s="20" t="s">
        <v>146</v>
      </c>
      <c r="Q105" s="14">
        <v>42.0</v>
      </c>
      <c r="R105" s="15">
        <v>76.4482142857142</v>
      </c>
      <c r="S105" s="15">
        <v>3.210825</v>
      </c>
      <c r="T105" s="26">
        <f t="shared" si="3"/>
        <v>0.0000450827196</v>
      </c>
      <c r="V105" s="20" t="s">
        <v>146</v>
      </c>
      <c r="W105" s="21">
        <v>42.0</v>
      </c>
      <c r="X105" s="22">
        <v>75.0543809523809</v>
      </c>
      <c r="Y105" s="23">
        <v>3.152284</v>
      </c>
      <c r="Z105" s="24">
        <f t="shared" si="4"/>
        <v>0.00004394542135</v>
      </c>
      <c r="AA105" s="17"/>
      <c r="AB105" s="4"/>
      <c r="AC105" s="29"/>
      <c r="AD105" s="20" t="s">
        <v>148</v>
      </c>
      <c r="AE105" s="21">
        <v>20.0</v>
      </c>
      <c r="AF105" s="22">
        <v>5.53505</v>
      </c>
      <c r="AG105" s="23">
        <v>0.110701</v>
      </c>
      <c r="AH105" s="26">
        <f t="shared" si="5"/>
        <v>0.000001535555327</v>
      </c>
      <c r="AI105" s="3"/>
      <c r="AJ105" s="20"/>
      <c r="AK105" s="14"/>
      <c r="AL105" s="15"/>
      <c r="AM105" s="15"/>
      <c r="AN105" s="26">
        <f t="shared" si="6"/>
        <v>0</v>
      </c>
      <c r="AP105" s="20"/>
      <c r="AQ105" s="21"/>
      <c r="AR105" s="22"/>
      <c r="AS105" s="23"/>
      <c r="AT105" s="26">
        <f t="shared" si="7"/>
        <v>0</v>
      </c>
      <c r="AU105" s="3"/>
      <c r="AV105" s="20" t="s">
        <v>148</v>
      </c>
      <c r="AW105" s="14">
        <v>20.0</v>
      </c>
      <c r="AX105" s="15">
        <v>5.44715</v>
      </c>
      <c r="AY105" s="15">
        <v>0.108943</v>
      </c>
      <c r="AZ105" s="26">
        <f t="shared" si="8"/>
        <v>0.000001524930434</v>
      </c>
    </row>
    <row r="106">
      <c r="B106" s="20" t="s">
        <v>79</v>
      </c>
      <c r="C106" s="21">
        <v>14.0</v>
      </c>
      <c r="D106" s="22">
        <v>3.21535714285714</v>
      </c>
      <c r="E106" s="23">
        <v>0.045015</v>
      </c>
      <c r="F106" s="24">
        <f t="shared" si="1"/>
        <v>0.0000006331043186</v>
      </c>
      <c r="G106" s="17"/>
      <c r="H106" s="4"/>
      <c r="I106" s="29"/>
      <c r="J106" s="20" t="s">
        <v>79</v>
      </c>
      <c r="K106" s="21">
        <v>14.0</v>
      </c>
      <c r="L106" s="22">
        <v>3.42971428571428</v>
      </c>
      <c r="M106" s="23">
        <v>0.048016</v>
      </c>
      <c r="N106" s="26">
        <f t="shared" si="2"/>
        <v>0.0000006725660131</v>
      </c>
      <c r="O106" s="3"/>
      <c r="P106" s="20" t="s">
        <v>113</v>
      </c>
      <c r="Q106" s="14">
        <v>672.0</v>
      </c>
      <c r="R106" s="15">
        <v>4.55154613095238</v>
      </c>
      <c r="S106" s="15">
        <v>3.058639</v>
      </c>
      <c r="T106" s="26">
        <f t="shared" si="3"/>
        <v>0.00004294589845</v>
      </c>
      <c r="V106" s="20" t="s">
        <v>113</v>
      </c>
      <c r="W106" s="21">
        <v>672.0</v>
      </c>
      <c r="X106" s="22">
        <v>4.55410863095238</v>
      </c>
      <c r="Y106" s="23">
        <v>3.060361</v>
      </c>
      <c r="Z106" s="24">
        <f t="shared" si="4"/>
        <v>0.00004266393942</v>
      </c>
      <c r="AA106" s="17"/>
      <c r="AB106" s="4"/>
      <c r="AC106" s="29"/>
      <c r="AD106" s="20" t="s">
        <v>79</v>
      </c>
      <c r="AE106" s="21">
        <v>14.0</v>
      </c>
      <c r="AF106" s="22">
        <v>3.53842857142857</v>
      </c>
      <c r="AG106" s="23">
        <v>0.049538</v>
      </c>
      <c r="AH106" s="26">
        <f t="shared" si="5"/>
        <v>0.0000006871513335</v>
      </c>
      <c r="AI106" s="3"/>
      <c r="AJ106" s="20"/>
      <c r="AK106" s="14"/>
      <c r="AL106" s="15"/>
      <c r="AM106" s="15"/>
      <c r="AN106" s="26">
        <f t="shared" si="6"/>
        <v>0</v>
      </c>
      <c r="AP106" s="20"/>
      <c r="AQ106" s="21"/>
      <c r="AR106" s="22"/>
      <c r="AS106" s="23"/>
      <c r="AT106" s="26">
        <f t="shared" si="7"/>
        <v>0</v>
      </c>
      <c r="AU106" s="3"/>
      <c r="AV106" s="20" t="s">
        <v>79</v>
      </c>
      <c r="AW106" s="14">
        <v>14.0</v>
      </c>
      <c r="AX106" s="15">
        <v>3.35242857142857</v>
      </c>
      <c r="AY106" s="15">
        <v>0.046934</v>
      </c>
      <c r="AZ106" s="26">
        <f t="shared" si="8"/>
        <v>0.0000006569590061</v>
      </c>
    </row>
    <row r="107">
      <c r="B107" s="20" t="s">
        <v>106</v>
      </c>
      <c r="C107" s="21">
        <v>9.0</v>
      </c>
      <c r="D107" s="22">
        <v>3.90711111111111</v>
      </c>
      <c r="E107" s="23">
        <v>0.035164</v>
      </c>
      <c r="F107" s="24">
        <f t="shared" si="1"/>
        <v>0.0000004945569313</v>
      </c>
      <c r="G107" s="17"/>
      <c r="H107" s="4"/>
      <c r="I107" s="29"/>
      <c r="J107" s="20" t="s">
        <v>106</v>
      </c>
      <c r="K107" s="21">
        <v>9.0</v>
      </c>
      <c r="L107" s="22">
        <v>3.37311111111111</v>
      </c>
      <c r="M107" s="23">
        <v>0.030358</v>
      </c>
      <c r="N107" s="26">
        <f t="shared" si="2"/>
        <v>0.0000004252282369</v>
      </c>
      <c r="O107" s="3"/>
      <c r="P107" s="20" t="s">
        <v>115</v>
      </c>
      <c r="Q107" s="14">
        <v>225.0</v>
      </c>
      <c r="R107" s="15">
        <v>6.68881333333333</v>
      </c>
      <c r="S107" s="15">
        <v>1.504983</v>
      </c>
      <c r="T107" s="26">
        <f t="shared" si="3"/>
        <v>0.00002113124402</v>
      </c>
      <c r="V107" s="20" t="s">
        <v>115</v>
      </c>
      <c r="W107" s="21">
        <v>225.0</v>
      </c>
      <c r="X107" s="22">
        <v>6.63165333333333</v>
      </c>
      <c r="Y107" s="23">
        <v>1.492122</v>
      </c>
      <c r="Z107" s="24">
        <f t="shared" si="4"/>
        <v>0.00002080140304</v>
      </c>
      <c r="AA107" s="17"/>
      <c r="AB107" s="4"/>
      <c r="AC107" s="29"/>
      <c r="AD107" s="20" t="s">
        <v>106</v>
      </c>
      <c r="AE107" s="21">
        <v>9.0</v>
      </c>
      <c r="AF107" s="22">
        <v>3.47522222222222</v>
      </c>
      <c r="AG107" s="23">
        <v>0.031277</v>
      </c>
      <c r="AH107" s="26">
        <f t="shared" si="5"/>
        <v>0.0000004338494137</v>
      </c>
      <c r="AI107" s="3"/>
      <c r="AJ107" s="20"/>
      <c r="AK107" s="14"/>
      <c r="AL107" s="15"/>
      <c r="AM107" s="15"/>
      <c r="AN107" s="26">
        <f t="shared" si="6"/>
        <v>0</v>
      </c>
      <c r="AP107" s="20"/>
      <c r="AQ107" s="21"/>
      <c r="AR107" s="22"/>
      <c r="AS107" s="23"/>
      <c r="AT107" s="26">
        <f t="shared" si="7"/>
        <v>0</v>
      </c>
      <c r="AU107" s="3"/>
      <c r="AV107" s="20" t="s">
        <v>106</v>
      </c>
      <c r="AW107" s="14">
        <v>9.0</v>
      </c>
      <c r="AX107" s="15">
        <v>3.04788888888888</v>
      </c>
      <c r="AY107" s="15">
        <v>0.027431</v>
      </c>
      <c r="AZ107" s="26">
        <f t="shared" si="8"/>
        <v>0.0000003839656218</v>
      </c>
    </row>
    <row r="108">
      <c r="B108" s="20" t="s">
        <v>83</v>
      </c>
      <c r="C108" s="21">
        <v>8.0</v>
      </c>
      <c r="D108" s="22">
        <v>2.918375</v>
      </c>
      <c r="E108" s="23">
        <v>0.023347</v>
      </c>
      <c r="F108" s="24">
        <f t="shared" si="1"/>
        <v>0.0000003283591365</v>
      </c>
      <c r="G108" s="17"/>
      <c r="H108" s="4"/>
      <c r="I108" s="29"/>
      <c r="J108" s="20" t="s">
        <v>124</v>
      </c>
      <c r="K108" s="21">
        <v>7.0</v>
      </c>
      <c r="L108" s="22">
        <v>3.65</v>
      </c>
      <c r="M108" s="23">
        <v>0.02555</v>
      </c>
      <c r="N108" s="26">
        <f t="shared" si="2"/>
        <v>0.00000035788199</v>
      </c>
      <c r="O108" s="3"/>
      <c r="P108" s="20" t="s">
        <v>116</v>
      </c>
      <c r="Q108" s="14">
        <v>225.0</v>
      </c>
      <c r="R108" s="15">
        <v>6.45928</v>
      </c>
      <c r="S108" s="15">
        <v>1.453338</v>
      </c>
      <c r="T108" s="26">
        <f t="shared" si="3"/>
        <v>0.00002040610421</v>
      </c>
      <c r="V108" s="20" t="s">
        <v>119</v>
      </c>
      <c r="W108" s="21">
        <v>225.0</v>
      </c>
      <c r="X108" s="22">
        <v>5.97194222222222</v>
      </c>
      <c r="Y108" s="23">
        <v>1.343687</v>
      </c>
      <c r="Z108" s="24">
        <f t="shared" si="4"/>
        <v>0.00001873209754</v>
      </c>
      <c r="AA108" s="17"/>
      <c r="AB108" s="4"/>
      <c r="AC108" s="29"/>
      <c r="AD108" s="20" t="s">
        <v>83</v>
      </c>
      <c r="AE108" s="21">
        <v>7.0</v>
      </c>
      <c r="AF108" s="22">
        <v>3.31271428571428</v>
      </c>
      <c r="AG108" s="23">
        <v>0.023189</v>
      </c>
      <c r="AH108" s="26">
        <f t="shared" si="5"/>
        <v>0.0000003216591762</v>
      </c>
      <c r="AI108" s="3"/>
      <c r="AJ108" s="20"/>
      <c r="AK108" s="14"/>
      <c r="AL108" s="15"/>
      <c r="AM108" s="15"/>
      <c r="AN108" s="26">
        <f t="shared" si="6"/>
        <v>0</v>
      </c>
      <c r="AP108" s="20"/>
      <c r="AQ108" s="21"/>
      <c r="AR108" s="22"/>
      <c r="AS108" s="23"/>
      <c r="AT108" s="26">
        <f t="shared" si="7"/>
        <v>0</v>
      </c>
      <c r="AU108" s="3"/>
      <c r="AV108" s="20" t="s">
        <v>83</v>
      </c>
      <c r="AW108" s="14">
        <v>8.0</v>
      </c>
      <c r="AX108" s="15">
        <v>3.18875</v>
      </c>
      <c r="AY108" s="15">
        <v>0.02551</v>
      </c>
      <c r="AZ108" s="26">
        <f t="shared" si="8"/>
        <v>0.0000003570764104</v>
      </c>
    </row>
    <row r="109">
      <c r="B109" s="20" t="s">
        <v>124</v>
      </c>
      <c r="C109" s="21">
        <v>6.0</v>
      </c>
      <c r="D109" s="22">
        <v>3.44416666666666</v>
      </c>
      <c r="E109" s="23">
        <v>0.020665</v>
      </c>
      <c r="F109" s="24">
        <f t="shared" si="1"/>
        <v>0.0000002906386925</v>
      </c>
      <c r="G109" s="17"/>
      <c r="H109" s="4"/>
      <c r="I109" s="29"/>
      <c r="J109" s="20" t="s">
        <v>109</v>
      </c>
      <c r="K109" s="21">
        <v>7.0</v>
      </c>
      <c r="L109" s="22">
        <v>3.41542857142857</v>
      </c>
      <c r="M109" s="23">
        <v>0.023908</v>
      </c>
      <c r="N109" s="26">
        <f t="shared" si="2"/>
        <v>0.0000003348822942</v>
      </c>
      <c r="O109" s="3"/>
      <c r="P109" s="20" t="s">
        <v>119</v>
      </c>
      <c r="Q109" s="14">
        <v>225.0</v>
      </c>
      <c r="R109" s="15">
        <v>6.06655111111111</v>
      </c>
      <c r="S109" s="15">
        <v>1.364974</v>
      </c>
      <c r="T109" s="26">
        <f t="shared" si="3"/>
        <v>0.00001916539833</v>
      </c>
      <c r="V109" s="20" t="s">
        <v>51</v>
      </c>
      <c r="W109" s="21">
        <v>3.0</v>
      </c>
      <c r="X109" s="22">
        <v>442.151333333333</v>
      </c>
      <c r="Y109" s="23">
        <v>1.326454</v>
      </c>
      <c r="Z109" s="24">
        <f t="shared" si="4"/>
        <v>0.00001849185541</v>
      </c>
      <c r="AA109" s="17"/>
      <c r="AB109" s="4"/>
      <c r="AC109" s="29"/>
      <c r="AD109" s="20" t="s">
        <v>109</v>
      </c>
      <c r="AE109" s="21">
        <v>7.0</v>
      </c>
      <c r="AF109" s="22">
        <v>3.27214285714285</v>
      </c>
      <c r="AG109" s="23">
        <v>0.022905</v>
      </c>
      <c r="AH109" s="26">
        <f t="shared" si="5"/>
        <v>0.0000003177197564</v>
      </c>
      <c r="AI109" s="3"/>
      <c r="AJ109" s="20"/>
      <c r="AK109" s="14"/>
      <c r="AL109" s="15"/>
      <c r="AM109" s="15"/>
      <c r="AN109" s="26">
        <f t="shared" si="6"/>
        <v>0</v>
      </c>
      <c r="AP109" s="20"/>
      <c r="AQ109" s="21"/>
      <c r="AR109" s="22"/>
      <c r="AS109" s="23"/>
      <c r="AT109" s="26">
        <f t="shared" si="7"/>
        <v>0</v>
      </c>
      <c r="AU109" s="3"/>
      <c r="AV109" s="20" t="s">
        <v>109</v>
      </c>
      <c r="AW109" s="14">
        <v>7.0</v>
      </c>
      <c r="AX109" s="15">
        <v>3.238</v>
      </c>
      <c r="AY109" s="15">
        <v>0.022666</v>
      </c>
      <c r="AZ109" s="26">
        <f t="shared" si="8"/>
        <v>0.0000003172674997</v>
      </c>
    </row>
    <row r="110">
      <c r="B110" s="20" t="s">
        <v>109</v>
      </c>
      <c r="C110" s="21">
        <v>7.0</v>
      </c>
      <c r="D110" s="22">
        <v>2.912</v>
      </c>
      <c r="E110" s="23">
        <v>0.020384</v>
      </c>
      <c r="F110" s="24">
        <f t="shared" si="1"/>
        <v>0.0000002866866252</v>
      </c>
      <c r="G110" s="17"/>
      <c r="H110" s="4"/>
      <c r="I110" s="29"/>
      <c r="J110" s="20" t="s">
        <v>83</v>
      </c>
      <c r="K110" s="21">
        <v>7.0</v>
      </c>
      <c r="L110" s="22">
        <v>3.28385714285714</v>
      </c>
      <c r="M110" s="23">
        <v>0.022987</v>
      </c>
      <c r="N110" s="26">
        <f t="shared" si="2"/>
        <v>0.000000321981734</v>
      </c>
      <c r="O110" s="3"/>
      <c r="P110" s="20" t="s">
        <v>51</v>
      </c>
      <c r="Q110" s="14">
        <v>3.0</v>
      </c>
      <c r="R110" s="15">
        <v>413.001333333333</v>
      </c>
      <c r="S110" s="15">
        <v>1.239004</v>
      </c>
      <c r="T110" s="26">
        <f t="shared" si="3"/>
        <v>0.00001739667217</v>
      </c>
      <c r="V110" s="20" t="s">
        <v>116</v>
      </c>
      <c r="W110" s="21">
        <v>225.0</v>
      </c>
      <c r="X110" s="22">
        <v>5.30435555555555</v>
      </c>
      <c r="Y110" s="23">
        <v>1.19348</v>
      </c>
      <c r="Z110" s="24">
        <f t="shared" si="4"/>
        <v>0.00001663808891</v>
      </c>
      <c r="AA110" s="17"/>
      <c r="AB110" s="4"/>
      <c r="AC110" s="29"/>
      <c r="AD110" s="20" t="s">
        <v>124</v>
      </c>
      <c r="AE110" s="21">
        <v>7.0</v>
      </c>
      <c r="AF110" s="22">
        <v>3.22671428571428</v>
      </c>
      <c r="AG110" s="23">
        <v>0.022587</v>
      </c>
      <c r="AH110" s="26">
        <f t="shared" si="5"/>
        <v>0.0000003133087159</v>
      </c>
      <c r="AI110" s="3"/>
      <c r="AJ110" s="20"/>
      <c r="AK110" s="14"/>
      <c r="AL110" s="15"/>
      <c r="AM110" s="15"/>
      <c r="AN110" s="26">
        <f t="shared" si="6"/>
        <v>0</v>
      </c>
      <c r="AP110" s="20"/>
      <c r="AQ110" s="21"/>
      <c r="AR110" s="22"/>
      <c r="AS110" s="23"/>
      <c r="AT110" s="26">
        <f t="shared" si="7"/>
        <v>0</v>
      </c>
      <c r="AU110" s="3"/>
      <c r="AV110" s="20" t="s">
        <v>124</v>
      </c>
      <c r="AW110" s="14">
        <v>6.0</v>
      </c>
      <c r="AX110" s="15">
        <v>3.531</v>
      </c>
      <c r="AY110" s="15">
        <v>0.021186</v>
      </c>
      <c r="AZ110" s="26">
        <f t="shared" si="8"/>
        <v>0.000000296551189</v>
      </c>
    </row>
    <row r="111">
      <c r="B111" s="20" t="s">
        <v>149</v>
      </c>
      <c r="C111" s="21">
        <v>2.0</v>
      </c>
      <c r="D111" s="22">
        <v>6.9095</v>
      </c>
      <c r="E111" s="23">
        <v>0.013819</v>
      </c>
      <c r="F111" s="24">
        <f t="shared" si="1"/>
        <v>0.0000001943545169</v>
      </c>
      <c r="G111" s="17"/>
      <c r="H111" s="4"/>
      <c r="I111" s="29"/>
      <c r="J111" s="20" t="s">
        <v>150</v>
      </c>
      <c r="K111" s="21">
        <v>1.0</v>
      </c>
      <c r="L111" s="22">
        <v>14.941</v>
      </c>
      <c r="M111" s="23">
        <v>0.014941</v>
      </c>
      <c r="N111" s="26">
        <f t="shared" si="2"/>
        <v>0.0000002092804232</v>
      </c>
      <c r="O111" s="3"/>
      <c r="P111" s="20" t="s">
        <v>147</v>
      </c>
      <c r="Q111" s="14">
        <v>42.0</v>
      </c>
      <c r="R111" s="15">
        <v>11.3263095238095</v>
      </c>
      <c r="S111" s="15">
        <v>0.475705</v>
      </c>
      <c r="T111" s="26">
        <f t="shared" si="3"/>
        <v>0.000006679303645</v>
      </c>
      <c r="V111" s="20" t="s">
        <v>147</v>
      </c>
      <c r="W111" s="21">
        <v>42.0</v>
      </c>
      <c r="X111" s="22">
        <v>11.1404047619047</v>
      </c>
      <c r="Y111" s="23">
        <v>0.467897</v>
      </c>
      <c r="Z111" s="24">
        <f t="shared" si="4"/>
        <v>0.000006522867486</v>
      </c>
      <c r="AA111" s="17"/>
      <c r="AB111" s="4"/>
      <c r="AC111" s="29"/>
      <c r="AD111" s="20" t="s">
        <v>149</v>
      </c>
      <c r="AE111" s="21">
        <v>2.0</v>
      </c>
      <c r="AF111" s="22">
        <v>7.771</v>
      </c>
      <c r="AG111" s="23">
        <v>0.015542</v>
      </c>
      <c r="AH111" s="26">
        <f t="shared" si="5"/>
        <v>0.0000002155861364</v>
      </c>
      <c r="AI111" s="3"/>
      <c r="AJ111" s="20"/>
      <c r="AK111" s="14"/>
      <c r="AL111" s="15"/>
      <c r="AM111" s="15"/>
      <c r="AN111" s="26">
        <f t="shared" si="6"/>
        <v>0</v>
      </c>
      <c r="AP111" s="20"/>
      <c r="AQ111" s="21"/>
      <c r="AR111" s="22"/>
      <c r="AS111" s="23"/>
      <c r="AT111" s="26">
        <f t="shared" si="7"/>
        <v>0</v>
      </c>
      <c r="AU111" s="3"/>
      <c r="AV111" s="20" t="s">
        <v>149</v>
      </c>
      <c r="AW111" s="14">
        <v>2.0</v>
      </c>
      <c r="AX111" s="15">
        <v>6.709</v>
      </c>
      <c r="AY111" s="15">
        <v>0.013418</v>
      </c>
      <c r="AZ111" s="26">
        <f t="shared" si="8"/>
        <v>0.0000001878185525</v>
      </c>
    </row>
    <row r="112">
      <c r="B112" s="20" t="s">
        <v>150</v>
      </c>
      <c r="C112" s="21">
        <v>1.0</v>
      </c>
      <c r="D112" s="22">
        <v>12.578</v>
      </c>
      <c r="E112" s="23">
        <v>0.012578</v>
      </c>
      <c r="F112" s="24">
        <f t="shared" si="1"/>
        <v>0.0000001769007246</v>
      </c>
      <c r="G112" s="17"/>
      <c r="H112" s="4"/>
      <c r="I112" s="29"/>
      <c r="J112" s="20" t="s">
        <v>149</v>
      </c>
      <c r="K112" s="21">
        <v>2.0</v>
      </c>
      <c r="L112" s="22">
        <v>7.1695</v>
      </c>
      <c r="M112" s="23">
        <v>0.014339</v>
      </c>
      <c r="N112" s="26">
        <f t="shared" si="2"/>
        <v>0.0000002008481352</v>
      </c>
      <c r="O112" s="3"/>
      <c r="P112" s="20" t="s">
        <v>121</v>
      </c>
      <c r="Q112" s="14">
        <v>4.0</v>
      </c>
      <c r="R112" s="15">
        <v>80.46875</v>
      </c>
      <c r="S112" s="15">
        <v>0.321875</v>
      </c>
      <c r="T112" s="26">
        <f t="shared" si="3"/>
        <v>0.000004519399335</v>
      </c>
      <c r="V112" s="20" t="s">
        <v>121</v>
      </c>
      <c r="W112" s="21">
        <v>4.0</v>
      </c>
      <c r="X112" s="22">
        <v>80.9695</v>
      </c>
      <c r="Y112" s="23">
        <v>0.323878</v>
      </c>
      <c r="Z112" s="24">
        <f t="shared" si="4"/>
        <v>0.000004515124645</v>
      </c>
      <c r="AA112" s="17"/>
      <c r="AB112" s="4"/>
      <c r="AC112" s="29"/>
      <c r="AD112" s="20" t="s">
        <v>150</v>
      </c>
      <c r="AE112" s="21">
        <v>1.0</v>
      </c>
      <c r="AF112" s="22">
        <v>15.342</v>
      </c>
      <c r="AG112" s="23">
        <v>0.015342</v>
      </c>
      <c r="AH112" s="26">
        <f t="shared" si="5"/>
        <v>0.0000002128118971</v>
      </c>
      <c r="AI112" s="3"/>
      <c r="AJ112" s="20"/>
      <c r="AK112" s="14"/>
      <c r="AL112" s="15"/>
      <c r="AM112" s="15"/>
      <c r="AN112" s="26">
        <f t="shared" si="6"/>
        <v>0</v>
      </c>
      <c r="AP112" s="20"/>
      <c r="AQ112" s="21"/>
      <c r="AR112" s="22"/>
      <c r="AS112" s="23"/>
      <c r="AT112" s="26">
        <f t="shared" si="7"/>
        <v>0</v>
      </c>
      <c r="AU112" s="3"/>
      <c r="AV112" s="20" t="s">
        <v>150</v>
      </c>
      <c r="AW112" s="14">
        <v>1.0</v>
      </c>
      <c r="AX112" s="15">
        <v>13.099</v>
      </c>
      <c r="AY112" s="15">
        <v>0.013099</v>
      </c>
      <c r="AZ112" s="26">
        <f t="shared" si="8"/>
        <v>0.0000001833533477</v>
      </c>
    </row>
    <row r="113">
      <c r="B113" s="20" t="s">
        <v>151</v>
      </c>
      <c r="C113" s="21">
        <v>2.0</v>
      </c>
      <c r="D113" s="22">
        <v>4.4255</v>
      </c>
      <c r="E113" s="23">
        <v>0.008851</v>
      </c>
      <c r="F113" s="24">
        <f t="shared" si="1"/>
        <v>0.0000001244830906</v>
      </c>
      <c r="G113" s="17"/>
      <c r="H113" s="4"/>
      <c r="I113" s="29"/>
      <c r="J113" s="20" t="s">
        <v>152</v>
      </c>
      <c r="K113" s="21">
        <v>1.0</v>
      </c>
      <c r="L113" s="22">
        <v>9.092</v>
      </c>
      <c r="M113" s="23">
        <v>0.009092</v>
      </c>
      <c r="N113" s="26">
        <f t="shared" si="2"/>
        <v>0.0000001273527614</v>
      </c>
      <c r="O113" s="3"/>
      <c r="P113" s="20" t="s">
        <v>148</v>
      </c>
      <c r="Q113" s="14">
        <v>39.0</v>
      </c>
      <c r="R113" s="15">
        <v>5.517</v>
      </c>
      <c r="S113" s="15">
        <v>0.215163</v>
      </c>
      <c r="T113" s="26">
        <f t="shared" si="3"/>
        <v>0.000003021071904</v>
      </c>
      <c r="V113" s="20" t="s">
        <v>148</v>
      </c>
      <c r="W113" s="21">
        <v>39.0</v>
      </c>
      <c r="X113" s="22">
        <v>5.49217948717948</v>
      </c>
      <c r="Y113" s="23">
        <v>0.214195</v>
      </c>
      <c r="Z113" s="24">
        <f t="shared" si="4"/>
        <v>0.000002986053771</v>
      </c>
      <c r="AA113" s="17"/>
      <c r="AB113" s="4"/>
      <c r="AC113" s="29"/>
      <c r="AD113" s="20" t="s">
        <v>151</v>
      </c>
      <c r="AE113" s="21">
        <v>2.0</v>
      </c>
      <c r="AF113" s="22">
        <v>5.1265</v>
      </c>
      <c r="AG113" s="23">
        <v>0.010253</v>
      </c>
      <c r="AH113" s="26">
        <f t="shared" si="5"/>
        <v>0.000000142221378</v>
      </c>
      <c r="AI113" s="3"/>
      <c r="AJ113" s="20"/>
      <c r="AK113" s="14"/>
      <c r="AL113" s="15"/>
      <c r="AM113" s="15"/>
      <c r="AN113" s="26">
        <f t="shared" si="6"/>
        <v>0</v>
      </c>
      <c r="AP113" s="20"/>
      <c r="AQ113" s="21"/>
      <c r="AR113" s="22"/>
      <c r="AS113" s="23"/>
      <c r="AT113" s="26">
        <f t="shared" si="7"/>
        <v>0</v>
      </c>
      <c r="AU113" s="3"/>
      <c r="AV113" s="20" t="s">
        <v>151</v>
      </c>
      <c r="AW113" s="14">
        <v>2.0</v>
      </c>
      <c r="AX113" s="15">
        <v>4.566</v>
      </c>
      <c r="AY113" s="15">
        <v>0.009132</v>
      </c>
      <c r="AZ113" s="26">
        <f t="shared" si="8"/>
        <v>0.0000001278252364</v>
      </c>
    </row>
    <row r="114">
      <c r="B114" s="20" t="s">
        <v>153</v>
      </c>
      <c r="C114" s="21">
        <v>1.0</v>
      </c>
      <c r="D114" s="22">
        <v>4.846</v>
      </c>
      <c r="E114" s="23">
        <v>0.004846</v>
      </c>
      <c r="F114" s="24">
        <f t="shared" si="1"/>
        <v>0.0000000681555821</v>
      </c>
      <c r="G114" s="17"/>
      <c r="H114" s="4"/>
      <c r="I114" s="29"/>
      <c r="J114" s="20" t="s">
        <v>151</v>
      </c>
      <c r="K114" s="21">
        <v>2.0</v>
      </c>
      <c r="L114" s="22">
        <v>4.365</v>
      </c>
      <c r="M114" s="23">
        <v>0.00873</v>
      </c>
      <c r="N114" s="26">
        <f t="shared" si="2"/>
        <v>0.0000001222821829</v>
      </c>
      <c r="O114" s="3"/>
      <c r="P114" s="20" t="s">
        <v>82</v>
      </c>
      <c r="Q114" s="14">
        <v>24.0</v>
      </c>
      <c r="R114" s="15">
        <v>7.38670833333333</v>
      </c>
      <c r="S114" s="15">
        <v>0.177281</v>
      </c>
      <c r="T114" s="26">
        <f t="shared" si="3"/>
        <v>0.000002489176337</v>
      </c>
      <c r="V114" s="20" t="s">
        <v>82</v>
      </c>
      <c r="W114" s="21">
        <v>24.0</v>
      </c>
      <c r="X114" s="22">
        <v>7.35166666666666</v>
      </c>
      <c r="Y114" s="23">
        <v>0.17644</v>
      </c>
      <c r="Z114" s="24">
        <f t="shared" si="4"/>
        <v>0.000002459718142</v>
      </c>
      <c r="AA114" s="17"/>
      <c r="AB114" s="4"/>
      <c r="AC114" s="29"/>
      <c r="AD114" s="20" t="s">
        <v>152</v>
      </c>
      <c r="AE114" s="21">
        <v>1.0</v>
      </c>
      <c r="AF114" s="22">
        <v>4.245</v>
      </c>
      <c r="AG114" s="23">
        <v>0.004245</v>
      </c>
      <c r="AH114" s="26">
        <f t="shared" si="5"/>
        <v>0.00000005888322925</v>
      </c>
      <c r="AI114" s="3"/>
      <c r="AJ114" s="20"/>
      <c r="AK114" s="14"/>
      <c r="AL114" s="15"/>
      <c r="AM114" s="15"/>
      <c r="AN114" s="26">
        <f t="shared" si="6"/>
        <v>0</v>
      </c>
      <c r="AP114" s="20"/>
      <c r="AQ114" s="21"/>
      <c r="AR114" s="22"/>
      <c r="AS114" s="23"/>
      <c r="AT114" s="26">
        <f t="shared" si="7"/>
        <v>0</v>
      </c>
      <c r="AU114" s="3"/>
      <c r="AV114" s="20" t="s">
        <v>152</v>
      </c>
      <c r="AW114" s="14">
        <v>1.0</v>
      </c>
      <c r="AX114" s="15">
        <v>6.89</v>
      </c>
      <c r="AY114" s="15">
        <v>0.00689</v>
      </c>
      <c r="AZ114" s="26">
        <f t="shared" si="8"/>
        <v>0.00000009644282507</v>
      </c>
    </row>
    <row r="115">
      <c r="B115" s="20" t="s">
        <v>152</v>
      </c>
      <c r="C115" s="21">
        <v>1.0</v>
      </c>
      <c r="D115" s="22">
        <v>4.205</v>
      </c>
      <c r="E115" s="23">
        <v>0.004205</v>
      </c>
      <c r="F115" s="24">
        <f t="shared" si="1"/>
        <v>0.00000005914036788</v>
      </c>
      <c r="G115" s="17"/>
      <c r="H115" s="4"/>
      <c r="I115" s="29"/>
      <c r="J115" s="20" t="s">
        <v>153</v>
      </c>
      <c r="K115" s="21">
        <v>1.0</v>
      </c>
      <c r="L115" s="22">
        <v>2.723</v>
      </c>
      <c r="M115" s="23">
        <v>0.002723</v>
      </c>
      <c r="N115" s="26">
        <f t="shared" si="2"/>
        <v>0.00000003814139565</v>
      </c>
      <c r="O115" s="3"/>
      <c r="P115" s="20" t="s">
        <v>122</v>
      </c>
      <c r="Q115" s="14">
        <v>8.0</v>
      </c>
      <c r="R115" s="15">
        <v>5.637375</v>
      </c>
      <c r="S115" s="15">
        <v>0.045099</v>
      </c>
      <c r="T115" s="26">
        <f t="shared" si="3"/>
        <v>0.0000006332283981</v>
      </c>
      <c r="V115" s="20" t="s">
        <v>122</v>
      </c>
      <c r="W115" s="21">
        <v>8.0</v>
      </c>
      <c r="X115" s="22">
        <v>5.307125</v>
      </c>
      <c r="Y115" s="23">
        <v>0.042457</v>
      </c>
      <c r="Z115" s="24">
        <f t="shared" si="4"/>
        <v>0.0000005918853613</v>
      </c>
      <c r="AA115" s="17"/>
      <c r="AB115" s="4"/>
      <c r="AC115" s="29"/>
      <c r="AD115" s="20" t="s">
        <v>153</v>
      </c>
      <c r="AE115" s="21">
        <v>1.0</v>
      </c>
      <c r="AF115" s="22">
        <v>2.723</v>
      </c>
      <c r="AG115" s="23">
        <v>0.002723</v>
      </c>
      <c r="AH115" s="26">
        <f t="shared" si="5"/>
        <v>0.00000003777126814</v>
      </c>
      <c r="AI115" s="3"/>
      <c r="AJ115" s="20"/>
      <c r="AK115" s="14"/>
      <c r="AL115" s="15"/>
      <c r="AM115" s="15"/>
      <c r="AN115" s="26">
        <f t="shared" si="6"/>
        <v>0</v>
      </c>
      <c r="AP115" s="20"/>
      <c r="AQ115" s="21"/>
      <c r="AR115" s="22"/>
      <c r="AS115" s="23"/>
      <c r="AT115" s="26">
        <f t="shared" si="7"/>
        <v>0</v>
      </c>
      <c r="AU115" s="3"/>
      <c r="AV115" s="20" t="s">
        <v>103</v>
      </c>
      <c r="AW115" s="14">
        <v>1.0</v>
      </c>
      <c r="AX115" s="15">
        <v>3.724</v>
      </c>
      <c r="AY115" s="15">
        <v>0.003724</v>
      </c>
      <c r="AZ115" s="26">
        <f t="shared" si="8"/>
        <v>0.00000005212671706</v>
      </c>
    </row>
    <row r="116">
      <c r="B116" s="20" t="s">
        <v>103</v>
      </c>
      <c r="C116" s="21">
        <v>1.0</v>
      </c>
      <c r="D116" s="22">
        <v>3.685</v>
      </c>
      <c r="E116" s="23">
        <v>0.003685</v>
      </c>
      <c r="F116" s="24">
        <f t="shared" si="1"/>
        <v>0.00000005182693356</v>
      </c>
      <c r="G116" s="17"/>
      <c r="H116" s="4"/>
      <c r="I116" s="29"/>
      <c r="J116" s="20"/>
      <c r="K116" s="21"/>
      <c r="L116" s="22"/>
      <c r="M116" s="23"/>
      <c r="N116" s="26">
        <f t="shared" si="2"/>
        <v>0</v>
      </c>
      <c r="O116" s="3"/>
      <c r="P116" s="20" t="s">
        <v>79</v>
      </c>
      <c r="Q116" s="14">
        <v>10.0</v>
      </c>
      <c r="R116" s="15">
        <v>3.953</v>
      </c>
      <c r="S116" s="15">
        <v>0.03953</v>
      </c>
      <c r="T116" s="26">
        <f t="shared" si="3"/>
        <v>0.0000005550348916</v>
      </c>
      <c r="V116" s="20" t="s">
        <v>150</v>
      </c>
      <c r="W116" s="21">
        <v>3.0</v>
      </c>
      <c r="X116" s="22">
        <v>13.9933333333333</v>
      </c>
      <c r="Y116" s="23">
        <v>0.04198</v>
      </c>
      <c r="Z116" s="24">
        <f t="shared" si="4"/>
        <v>0.0000005852355905</v>
      </c>
      <c r="AA116" s="17"/>
      <c r="AB116" s="4"/>
      <c r="AC116" s="29"/>
      <c r="AD116" s="20"/>
      <c r="AE116" s="21"/>
      <c r="AF116" s="22"/>
      <c r="AG116" s="23"/>
      <c r="AH116" s="26">
        <f t="shared" si="5"/>
        <v>0</v>
      </c>
      <c r="AI116" s="3"/>
      <c r="AJ116" s="20"/>
      <c r="AK116" s="14"/>
      <c r="AL116" s="15"/>
      <c r="AM116" s="15"/>
      <c r="AN116" s="26">
        <f t="shared" si="6"/>
        <v>0</v>
      </c>
      <c r="AP116" s="20"/>
      <c r="AQ116" s="21"/>
      <c r="AR116" s="22"/>
      <c r="AS116" s="23"/>
      <c r="AT116" s="26">
        <f t="shared" si="7"/>
        <v>0</v>
      </c>
      <c r="AU116" s="3"/>
      <c r="AV116" s="20" t="s">
        <v>153</v>
      </c>
      <c r="AW116" s="14">
        <v>1.0</v>
      </c>
      <c r="AX116" s="15">
        <v>3.564</v>
      </c>
      <c r="AY116" s="15">
        <v>0.003564</v>
      </c>
      <c r="AZ116" s="26">
        <f t="shared" si="8"/>
        <v>0.0000000498871159</v>
      </c>
    </row>
    <row r="117">
      <c r="B117" s="20"/>
      <c r="C117" s="21"/>
      <c r="D117" s="22"/>
      <c r="E117" s="23"/>
      <c r="F117" s="24"/>
      <c r="G117" s="17"/>
      <c r="H117" s="4"/>
      <c r="I117" s="29"/>
      <c r="J117" s="20"/>
      <c r="K117" s="21"/>
      <c r="L117" s="23"/>
      <c r="M117" s="23"/>
      <c r="N117" s="26"/>
      <c r="O117" s="3"/>
      <c r="P117" s="20" t="s">
        <v>150</v>
      </c>
      <c r="Q117" s="14">
        <v>3.0</v>
      </c>
      <c r="R117" s="15">
        <v>11.483</v>
      </c>
      <c r="S117" s="15">
        <v>0.034449</v>
      </c>
      <c r="T117" s="26">
        <f t="shared" si="3"/>
        <v>0.000000483693321</v>
      </c>
      <c r="V117" s="20" t="s">
        <v>79</v>
      </c>
      <c r="W117" s="21">
        <v>10.0</v>
      </c>
      <c r="X117" s="22">
        <v>3.95269999999999</v>
      </c>
      <c r="Y117" s="23">
        <v>0.039527</v>
      </c>
      <c r="Z117" s="24">
        <f t="shared" si="4"/>
        <v>0.000000551038761</v>
      </c>
      <c r="AA117" s="17"/>
      <c r="AB117" s="4"/>
      <c r="AC117" s="29"/>
      <c r="AD117" s="20"/>
      <c r="AE117" s="21"/>
      <c r="AF117" s="23"/>
      <c r="AG117" s="23"/>
      <c r="AH117" s="26"/>
      <c r="AI117" s="3"/>
      <c r="AJ117" s="20"/>
      <c r="AK117" s="14"/>
      <c r="AL117" s="15"/>
      <c r="AM117" s="15"/>
      <c r="AN117" s="26"/>
      <c r="AP117" s="20"/>
      <c r="AQ117" s="21"/>
      <c r="AR117" s="23"/>
      <c r="AS117" s="23"/>
      <c r="AT117" s="26"/>
      <c r="AU117" s="3"/>
      <c r="AV117" s="20"/>
      <c r="AW117" s="14"/>
      <c r="AX117" s="15"/>
      <c r="AY117" s="15"/>
      <c r="AZ117" s="26"/>
    </row>
    <row r="118">
      <c r="B118" s="20"/>
      <c r="C118" s="21"/>
      <c r="D118" s="22"/>
      <c r="E118" s="23"/>
      <c r="F118" s="24"/>
      <c r="G118" s="17"/>
      <c r="H118" s="4"/>
      <c r="I118" s="29"/>
      <c r="J118" s="20"/>
      <c r="K118" s="21"/>
      <c r="L118" s="23"/>
      <c r="M118" s="23"/>
      <c r="N118" s="26"/>
      <c r="O118" s="3"/>
      <c r="P118" s="20" t="s">
        <v>149</v>
      </c>
      <c r="Q118" s="14">
        <v>4.0</v>
      </c>
      <c r="R118" s="15">
        <v>6.809</v>
      </c>
      <c r="S118" s="15">
        <v>0.027236</v>
      </c>
      <c r="T118" s="26">
        <f t="shared" si="3"/>
        <v>0.0000003824166534</v>
      </c>
      <c r="V118" s="20" t="s">
        <v>149</v>
      </c>
      <c r="W118" s="21">
        <v>4.0</v>
      </c>
      <c r="X118" s="22">
        <v>7.6805</v>
      </c>
      <c r="Y118" s="23">
        <v>0.030722</v>
      </c>
      <c r="Z118" s="24">
        <f t="shared" si="4"/>
        <v>0.0000004282898478</v>
      </c>
      <c r="AA118" s="17"/>
      <c r="AB118" s="4"/>
      <c r="AC118" s="29"/>
      <c r="AD118" s="20"/>
      <c r="AE118" s="21"/>
      <c r="AF118" s="23"/>
      <c r="AG118" s="23"/>
      <c r="AH118" s="26"/>
      <c r="AI118" s="3"/>
      <c r="AJ118" s="20"/>
      <c r="AK118" s="14"/>
      <c r="AL118" s="15"/>
      <c r="AM118" s="15"/>
      <c r="AN118" s="26"/>
      <c r="AP118" s="20"/>
      <c r="AQ118" s="21"/>
      <c r="AR118" s="23"/>
      <c r="AS118" s="23"/>
      <c r="AT118" s="26"/>
      <c r="AU118" s="3"/>
      <c r="AV118" s="20"/>
      <c r="AW118" s="14"/>
      <c r="AX118" s="15"/>
      <c r="AY118" s="15"/>
      <c r="AZ118" s="26"/>
    </row>
    <row r="119">
      <c r="B119" s="20"/>
      <c r="C119" s="21"/>
      <c r="D119" s="22"/>
      <c r="E119" s="23"/>
      <c r="F119" s="24"/>
      <c r="G119" s="17"/>
      <c r="H119" s="4"/>
      <c r="I119" s="29"/>
      <c r="J119" s="20"/>
      <c r="K119" s="21"/>
      <c r="L119" s="23"/>
      <c r="M119" s="23"/>
      <c r="N119" s="26"/>
      <c r="O119" s="3"/>
      <c r="P119" s="20" t="s">
        <v>106</v>
      </c>
      <c r="Q119" s="14">
        <v>7.0</v>
      </c>
      <c r="R119" s="15">
        <v>3.58714285714285</v>
      </c>
      <c r="S119" s="15">
        <v>0.02511</v>
      </c>
      <c r="T119" s="26">
        <f t="shared" si="3"/>
        <v>0.0000003525658014</v>
      </c>
      <c r="V119" s="20" t="s">
        <v>106</v>
      </c>
      <c r="W119" s="21">
        <v>7.0</v>
      </c>
      <c r="X119" s="22">
        <v>3.713</v>
      </c>
      <c r="Y119" s="23">
        <v>0.025991</v>
      </c>
      <c r="Z119" s="24">
        <f t="shared" si="4"/>
        <v>0.0000003623358321</v>
      </c>
      <c r="AA119" s="17"/>
      <c r="AB119" s="4"/>
      <c r="AC119" s="29"/>
      <c r="AD119" s="20"/>
      <c r="AE119" s="21"/>
      <c r="AF119" s="23"/>
      <c r="AG119" s="23"/>
      <c r="AH119" s="26"/>
      <c r="AI119" s="3"/>
      <c r="AJ119" s="20"/>
      <c r="AK119" s="14"/>
      <c r="AL119" s="15"/>
      <c r="AM119" s="15"/>
      <c r="AN119" s="26"/>
      <c r="AP119" s="20"/>
      <c r="AQ119" s="21"/>
      <c r="AR119" s="23"/>
      <c r="AS119" s="23"/>
      <c r="AT119" s="26"/>
      <c r="AU119" s="3"/>
      <c r="AV119" s="20"/>
      <c r="AW119" s="14"/>
      <c r="AX119" s="15"/>
      <c r="AY119" s="15"/>
      <c r="AZ119" s="26"/>
    </row>
    <row r="120">
      <c r="B120" s="20"/>
      <c r="C120" s="21"/>
      <c r="D120" s="22"/>
      <c r="E120" s="23"/>
      <c r="F120" s="24"/>
      <c r="G120" s="17"/>
      <c r="H120" s="4"/>
      <c r="I120" s="29"/>
      <c r="J120" s="20"/>
      <c r="K120" s="21"/>
      <c r="L120" s="23"/>
      <c r="M120" s="23"/>
      <c r="N120" s="26"/>
      <c r="O120" s="3"/>
      <c r="P120" s="20" t="s">
        <v>112</v>
      </c>
      <c r="Q120" s="14">
        <v>3.0</v>
      </c>
      <c r="R120" s="15">
        <v>7.69066666666666</v>
      </c>
      <c r="S120" s="15">
        <v>0.023072</v>
      </c>
      <c r="T120" s="26">
        <f t="shared" si="3"/>
        <v>0.0000003239505444</v>
      </c>
      <c r="V120" s="20" t="s">
        <v>112</v>
      </c>
      <c r="W120" s="21">
        <v>3.0</v>
      </c>
      <c r="X120" s="22">
        <v>7.704</v>
      </c>
      <c r="Y120" s="23">
        <v>0.023112</v>
      </c>
      <c r="Z120" s="24">
        <f t="shared" si="4"/>
        <v>0.0000003222002136</v>
      </c>
      <c r="AA120" s="17"/>
      <c r="AB120" s="4"/>
      <c r="AC120" s="29"/>
      <c r="AD120" s="20"/>
      <c r="AE120" s="21"/>
      <c r="AF120" s="23"/>
      <c r="AG120" s="23"/>
      <c r="AH120" s="26"/>
      <c r="AI120" s="3"/>
      <c r="AJ120" s="20"/>
      <c r="AK120" s="14"/>
      <c r="AL120" s="15"/>
      <c r="AM120" s="15"/>
      <c r="AN120" s="26"/>
      <c r="AP120" s="20"/>
      <c r="AQ120" s="21"/>
      <c r="AR120" s="23"/>
      <c r="AS120" s="23"/>
      <c r="AT120" s="26"/>
      <c r="AU120" s="3"/>
      <c r="AV120" s="20"/>
      <c r="AW120" s="14"/>
      <c r="AX120" s="15"/>
      <c r="AY120" s="15"/>
      <c r="AZ120" s="26"/>
    </row>
    <row r="121">
      <c r="B121" s="20"/>
      <c r="C121" s="21"/>
      <c r="D121" s="22"/>
      <c r="E121" s="23"/>
      <c r="F121" s="24"/>
      <c r="G121" s="17"/>
      <c r="H121" s="4"/>
      <c r="I121" s="29"/>
      <c r="J121" s="20"/>
      <c r="K121" s="21"/>
      <c r="L121" s="23"/>
      <c r="M121" s="23"/>
      <c r="N121" s="26"/>
      <c r="O121" s="3"/>
      <c r="P121" s="20" t="s">
        <v>109</v>
      </c>
      <c r="Q121" s="14">
        <v>6.0</v>
      </c>
      <c r="R121" s="15">
        <v>3.84483333333333</v>
      </c>
      <c r="S121" s="15">
        <v>0.023069</v>
      </c>
      <c r="T121" s="26">
        <f t="shared" si="3"/>
        <v>0.0000003239084218</v>
      </c>
      <c r="V121" s="20" t="s">
        <v>109</v>
      </c>
      <c r="W121" s="21">
        <v>6.0</v>
      </c>
      <c r="X121" s="22">
        <v>3.62433333333333</v>
      </c>
      <c r="Y121" s="23">
        <v>0.021746</v>
      </c>
      <c r="Z121" s="24">
        <f t="shared" si="4"/>
        <v>0.0000003031570546</v>
      </c>
      <c r="AA121" s="17"/>
      <c r="AB121" s="4"/>
      <c r="AC121" s="29"/>
      <c r="AD121" s="20"/>
      <c r="AE121" s="21"/>
      <c r="AF121" s="23"/>
      <c r="AG121" s="23"/>
      <c r="AH121" s="26"/>
      <c r="AI121" s="3"/>
      <c r="AJ121" s="20"/>
      <c r="AK121" s="14"/>
      <c r="AL121" s="15"/>
      <c r="AM121" s="15"/>
      <c r="AN121" s="26"/>
      <c r="AP121" s="20"/>
      <c r="AQ121" s="21"/>
      <c r="AR121" s="23"/>
      <c r="AS121" s="23"/>
      <c r="AT121" s="26"/>
      <c r="AU121" s="3"/>
      <c r="AV121" s="20"/>
      <c r="AW121" s="14"/>
      <c r="AX121" s="15"/>
      <c r="AY121" s="15"/>
      <c r="AZ121" s="26"/>
    </row>
    <row r="122">
      <c r="B122" s="20"/>
      <c r="C122" s="21"/>
      <c r="D122" s="22"/>
      <c r="E122" s="23"/>
      <c r="F122" s="24"/>
      <c r="G122" s="17"/>
      <c r="H122" s="4"/>
      <c r="I122" s="29"/>
      <c r="J122" s="20"/>
      <c r="K122" s="21"/>
      <c r="L122" s="23"/>
      <c r="M122" s="23"/>
      <c r="N122" s="26"/>
      <c r="O122" s="3"/>
      <c r="P122" s="20" t="s">
        <v>124</v>
      </c>
      <c r="Q122" s="14">
        <v>5.0</v>
      </c>
      <c r="R122" s="15">
        <v>3.8204</v>
      </c>
      <c r="S122" s="15">
        <v>0.019102</v>
      </c>
      <c r="T122" s="26">
        <f t="shared" si="3"/>
        <v>0.0000002682083607</v>
      </c>
      <c r="V122" s="20" t="s">
        <v>124</v>
      </c>
      <c r="W122" s="21">
        <v>5.0</v>
      </c>
      <c r="X122" s="22">
        <v>4.061</v>
      </c>
      <c r="Y122" s="23">
        <v>0.020305</v>
      </c>
      <c r="Z122" s="24">
        <f t="shared" si="4"/>
        <v>0.0000002830683341</v>
      </c>
      <c r="AA122" s="17"/>
      <c r="AB122" s="4"/>
      <c r="AC122" s="29"/>
      <c r="AD122" s="20"/>
      <c r="AE122" s="21"/>
      <c r="AF122" s="23"/>
      <c r="AG122" s="23"/>
      <c r="AH122" s="26"/>
      <c r="AI122" s="3"/>
      <c r="AJ122" s="20"/>
      <c r="AK122" s="14"/>
      <c r="AL122" s="15"/>
      <c r="AM122" s="15"/>
      <c r="AN122" s="26"/>
      <c r="AP122" s="20"/>
      <c r="AQ122" s="21"/>
      <c r="AR122" s="23"/>
      <c r="AS122" s="23"/>
      <c r="AT122" s="26"/>
      <c r="AU122" s="3"/>
      <c r="AV122" s="20"/>
      <c r="AW122" s="14"/>
      <c r="AX122" s="15"/>
      <c r="AY122" s="15"/>
      <c r="AZ122" s="26"/>
    </row>
    <row r="123">
      <c r="B123" s="20"/>
      <c r="C123" s="21"/>
      <c r="D123" s="22"/>
      <c r="E123" s="23"/>
      <c r="F123" s="24"/>
      <c r="G123" s="17"/>
      <c r="H123" s="4"/>
      <c r="I123" s="29"/>
      <c r="J123" s="20"/>
      <c r="K123" s="21"/>
      <c r="L123" s="23"/>
      <c r="M123" s="23"/>
      <c r="N123" s="26"/>
      <c r="O123" s="3"/>
      <c r="P123" s="20" t="s">
        <v>83</v>
      </c>
      <c r="Q123" s="14">
        <v>5.0</v>
      </c>
      <c r="R123" s="15">
        <v>3.7164</v>
      </c>
      <c r="S123" s="15">
        <v>0.018582</v>
      </c>
      <c r="T123" s="26">
        <f t="shared" si="3"/>
        <v>0.0000002609071175</v>
      </c>
      <c r="V123" s="20" t="s">
        <v>83</v>
      </c>
      <c r="W123" s="21">
        <v>5.0</v>
      </c>
      <c r="X123" s="22">
        <v>3.6526</v>
      </c>
      <c r="Y123" s="23">
        <v>0.018263</v>
      </c>
      <c r="Z123" s="24">
        <f t="shared" si="4"/>
        <v>0.0000002546011813</v>
      </c>
      <c r="AA123" s="17"/>
      <c r="AB123" s="4"/>
      <c r="AC123" s="29"/>
      <c r="AD123" s="20"/>
      <c r="AE123" s="21"/>
      <c r="AF123" s="23"/>
      <c r="AG123" s="23"/>
      <c r="AH123" s="26"/>
      <c r="AI123" s="3"/>
      <c r="AJ123" s="20"/>
      <c r="AK123" s="14"/>
      <c r="AL123" s="15"/>
      <c r="AM123" s="15"/>
      <c r="AN123" s="26"/>
      <c r="AP123" s="20"/>
      <c r="AQ123" s="21"/>
      <c r="AR123" s="23"/>
      <c r="AS123" s="23"/>
      <c r="AT123" s="26"/>
      <c r="AU123" s="3"/>
      <c r="AV123" s="20"/>
      <c r="AW123" s="14"/>
      <c r="AX123" s="15"/>
      <c r="AY123" s="15"/>
      <c r="AZ123" s="26"/>
    </row>
    <row r="124">
      <c r="B124" s="20"/>
      <c r="C124" s="21"/>
      <c r="D124" s="22"/>
      <c r="E124" s="23"/>
      <c r="F124" s="24"/>
      <c r="G124" s="17"/>
      <c r="H124" s="4"/>
      <c r="I124" s="29"/>
      <c r="J124" s="20"/>
      <c r="K124" s="21"/>
      <c r="L124" s="23"/>
      <c r="M124" s="23"/>
      <c r="N124" s="26"/>
      <c r="O124" s="3"/>
      <c r="P124" s="20" t="s">
        <v>151</v>
      </c>
      <c r="Q124" s="14">
        <v>4.0</v>
      </c>
      <c r="R124" s="15">
        <v>4.26575</v>
      </c>
      <c r="S124" s="15">
        <v>0.017063</v>
      </c>
      <c r="T124" s="26">
        <f t="shared" si="3"/>
        <v>0.0000002395790629</v>
      </c>
      <c r="V124" s="20" t="s">
        <v>151</v>
      </c>
      <c r="W124" s="21">
        <v>4.0</v>
      </c>
      <c r="X124" s="22">
        <v>4.416</v>
      </c>
      <c r="Y124" s="23">
        <v>0.017664</v>
      </c>
      <c r="Z124" s="24">
        <f t="shared" si="4"/>
        <v>0.0000002462506305</v>
      </c>
      <c r="AA124" s="17"/>
      <c r="AB124" s="4"/>
      <c r="AC124" s="29"/>
      <c r="AD124" s="20"/>
      <c r="AE124" s="21"/>
      <c r="AF124" s="23"/>
      <c r="AG124" s="23"/>
      <c r="AH124" s="26"/>
      <c r="AI124" s="3"/>
      <c r="AJ124" s="20"/>
      <c r="AK124" s="14"/>
      <c r="AL124" s="15"/>
      <c r="AM124" s="15"/>
      <c r="AN124" s="26"/>
      <c r="AP124" s="20"/>
      <c r="AQ124" s="21"/>
      <c r="AR124" s="23"/>
      <c r="AS124" s="23"/>
      <c r="AT124" s="26"/>
      <c r="AU124" s="3"/>
      <c r="AV124" s="20"/>
      <c r="AW124" s="14"/>
      <c r="AX124" s="15"/>
      <c r="AY124" s="15"/>
      <c r="AZ124" s="26"/>
    </row>
    <row r="125">
      <c r="B125" s="20"/>
      <c r="C125" s="21"/>
      <c r="D125" s="22"/>
      <c r="E125" s="23"/>
      <c r="F125" s="24"/>
      <c r="G125" s="17"/>
      <c r="H125" s="4"/>
      <c r="I125" s="29"/>
      <c r="J125" s="20"/>
      <c r="K125" s="21"/>
      <c r="L125" s="23"/>
      <c r="M125" s="23"/>
      <c r="N125" s="26"/>
      <c r="O125" s="3"/>
      <c r="P125" s="20" t="s">
        <v>133</v>
      </c>
      <c r="Q125" s="14">
        <v>3.0</v>
      </c>
      <c r="R125" s="15">
        <v>4.299</v>
      </c>
      <c r="S125" s="15">
        <v>0.012897</v>
      </c>
      <c r="T125" s="26">
        <f t="shared" si="3"/>
        <v>0.0000001810848722</v>
      </c>
      <c r="V125" s="20" t="s">
        <v>133</v>
      </c>
      <c r="W125" s="21">
        <v>3.0</v>
      </c>
      <c r="X125" s="22">
        <v>4.28566666666666</v>
      </c>
      <c r="Y125" s="23">
        <v>0.012857</v>
      </c>
      <c r="Z125" s="24">
        <f t="shared" si="4"/>
        <v>0.0000001792371126</v>
      </c>
      <c r="AA125" s="17"/>
      <c r="AB125" s="4"/>
      <c r="AC125" s="29"/>
      <c r="AD125" s="20"/>
      <c r="AE125" s="21"/>
      <c r="AF125" s="23"/>
      <c r="AG125" s="23"/>
      <c r="AH125" s="26"/>
      <c r="AI125" s="3"/>
      <c r="AJ125" s="20"/>
      <c r="AK125" s="14"/>
      <c r="AL125" s="15"/>
      <c r="AM125" s="15"/>
      <c r="AN125" s="26"/>
      <c r="AP125" s="20"/>
      <c r="AQ125" s="21"/>
      <c r="AR125" s="23"/>
      <c r="AS125" s="23"/>
      <c r="AT125" s="26"/>
      <c r="AU125" s="3"/>
      <c r="AV125" s="20"/>
      <c r="AW125" s="14"/>
      <c r="AX125" s="15"/>
      <c r="AY125" s="15"/>
      <c r="AZ125" s="26"/>
    </row>
    <row r="126">
      <c r="B126" s="20"/>
      <c r="C126" s="21"/>
      <c r="D126" s="22"/>
      <c r="E126" s="23"/>
      <c r="F126" s="24"/>
      <c r="G126" s="17"/>
      <c r="H126" s="4"/>
      <c r="I126" s="29"/>
      <c r="J126" s="20"/>
      <c r="K126" s="21"/>
      <c r="L126" s="23"/>
      <c r="M126" s="23"/>
      <c r="N126" s="26"/>
      <c r="O126" s="3"/>
      <c r="P126" s="20" t="s">
        <v>138</v>
      </c>
      <c r="Q126" s="14">
        <v>3.0</v>
      </c>
      <c r="R126" s="15">
        <v>4.11166666666666</v>
      </c>
      <c r="S126" s="15">
        <v>0.012335</v>
      </c>
      <c r="T126" s="26">
        <f t="shared" si="3"/>
        <v>0.0000001731939132</v>
      </c>
      <c r="V126" s="20" t="s">
        <v>138</v>
      </c>
      <c r="W126" s="21">
        <v>3.0</v>
      </c>
      <c r="X126" s="22">
        <v>4.07166666666666</v>
      </c>
      <c r="Y126" s="23">
        <v>0.012215</v>
      </c>
      <c r="Z126" s="24">
        <f t="shared" si="4"/>
        <v>0.0000001702871067</v>
      </c>
      <c r="AA126" s="17"/>
      <c r="AB126" s="4"/>
      <c r="AC126" s="29"/>
      <c r="AD126" s="20"/>
      <c r="AE126" s="21"/>
      <c r="AF126" s="23"/>
      <c r="AG126" s="23"/>
      <c r="AH126" s="26"/>
      <c r="AI126" s="3"/>
      <c r="AJ126" s="20"/>
      <c r="AK126" s="14"/>
      <c r="AL126" s="15"/>
      <c r="AM126" s="15"/>
      <c r="AN126" s="26"/>
      <c r="AP126" s="20"/>
      <c r="AQ126" s="21"/>
      <c r="AR126" s="23"/>
      <c r="AS126" s="23"/>
      <c r="AT126" s="26"/>
      <c r="AU126" s="3"/>
      <c r="AV126" s="20"/>
      <c r="AW126" s="14"/>
      <c r="AX126" s="15"/>
      <c r="AY126" s="15"/>
      <c r="AZ126" s="26"/>
    </row>
    <row r="127">
      <c r="B127" s="20"/>
      <c r="C127" s="21"/>
      <c r="D127" s="22"/>
      <c r="E127" s="23"/>
      <c r="F127" s="24"/>
      <c r="G127" s="17"/>
      <c r="H127" s="4"/>
      <c r="I127" s="29"/>
      <c r="J127" s="20"/>
      <c r="K127" s="21"/>
      <c r="L127" s="23"/>
      <c r="M127" s="23"/>
      <c r="N127" s="26"/>
      <c r="O127" s="3"/>
      <c r="P127" s="20" t="s">
        <v>134</v>
      </c>
      <c r="Q127" s="14">
        <v>3.0</v>
      </c>
      <c r="R127" s="15">
        <v>3.938</v>
      </c>
      <c r="S127" s="15">
        <v>0.011814</v>
      </c>
      <c r="T127" s="26">
        <f t="shared" si="3"/>
        <v>0.0000001658786291</v>
      </c>
      <c r="V127" s="20" t="s">
        <v>134</v>
      </c>
      <c r="W127" s="21">
        <v>3.0</v>
      </c>
      <c r="X127" s="22">
        <v>3.91133333333333</v>
      </c>
      <c r="Y127" s="23">
        <v>0.011734</v>
      </c>
      <c r="Z127" s="24">
        <f t="shared" si="4"/>
        <v>0.0000001635815726</v>
      </c>
      <c r="AA127" s="17"/>
      <c r="AB127" s="4"/>
      <c r="AC127" s="29"/>
      <c r="AD127" s="20"/>
      <c r="AE127" s="21"/>
      <c r="AF127" s="23"/>
      <c r="AG127" s="23"/>
      <c r="AH127" s="26"/>
      <c r="AI127" s="3"/>
      <c r="AJ127" s="20"/>
      <c r="AK127" s="14"/>
      <c r="AL127" s="15"/>
      <c r="AM127" s="15"/>
      <c r="AN127" s="26"/>
      <c r="AP127" s="20"/>
      <c r="AQ127" s="21"/>
      <c r="AR127" s="23"/>
      <c r="AS127" s="23"/>
      <c r="AT127" s="26"/>
      <c r="AU127" s="3"/>
      <c r="AV127" s="20"/>
      <c r="AW127" s="14"/>
      <c r="AX127" s="15"/>
      <c r="AY127" s="15"/>
      <c r="AZ127" s="26"/>
    </row>
    <row r="128">
      <c r="B128" s="20"/>
      <c r="C128" s="21"/>
      <c r="D128" s="22"/>
      <c r="E128" s="23"/>
      <c r="F128" s="24"/>
      <c r="G128" s="17"/>
      <c r="H128" s="4"/>
      <c r="I128" s="29"/>
      <c r="J128" s="20"/>
      <c r="K128" s="21"/>
      <c r="L128" s="23"/>
      <c r="M128" s="23"/>
      <c r="N128" s="26"/>
      <c r="O128" s="3"/>
      <c r="P128" s="20" t="s">
        <v>152</v>
      </c>
      <c r="Q128" s="14">
        <v>2.0</v>
      </c>
      <c r="R128" s="15">
        <v>5.467</v>
      </c>
      <c r="S128" s="15">
        <v>0.010934</v>
      </c>
      <c r="T128" s="26">
        <f t="shared" si="3"/>
        <v>0.0000001535226791</v>
      </c>
      <c r="V128" s="20" t="s">
        <v>152</v>
      </c>
      <c r="W128" s="21">
        <v>2.0</v>
      </c>
      <c r="X128" s="22">
        <v>5.307</v>
      </c>
      <c r="Y128" s="23">
        <v>0.010614</v>
      </c>
      <c r="Z128" s="24">
        <f t="shared" si="4"/>
        <v>0.0000001479678551</v>
      </c>
      <c r="AA128" s="17"/>
      <c r="AB128" s="4"/>
      <c r="AC128" s="29"/>
      <c r="AD128" s="20"/>
      <c r="AE128" s="21"/>
      <c r="AF128" s="23"/>
      <c r="AG128" s="23"/>
      <c r="AH128" s="26"/>
      <c r="AI128" s="3"/>
      <c r="AJ128" s="20"/>
      <c r="AK128" s="14"/>
      <c r="AL128" s="15"/>
      <c r="AM128" s="15"/>
      <c r="AN128" s="26"/>
      <c r="AP128" s="20"/>
      <c r="AQ128" s="21"/>
      <c r="AR128" s="23"/>
      <c r="AS128" s="23"/>
      <c r="AT128" s="26"/>
      <c r="AU128" s="3"/>
      <c r="AV128" s="20"/>
      <c r="AW128" s="14"/>
      <c r="AX128" s="15"/>
      <c r="AY128" s="15"/>
      <c r="AZ128" s="26"/>
    </row>
    <row r="129">
      <c r="B129" s="20"/>
      <c r="C129" s="21"/>
      <c r="D129" s="22"/>
      <c r="E129" s="23"/>
      <c r="F129" s="24"/>
      <c r="G129" s="17"/>
      <c r="H129" s="4"/>
      <c r="I129" s="29"/>
      <c r="J129" s="20"/>
      <c r="K129" s="21"/>
      <c r="L129" s="23"/>
      <c r="M129" s="23"/>
      <c r="N129" s="26"/>
      <c r="O129" s="3"/>
      <c r="P129" s="20" t="s">
        <v>153</v>
      </c>
      <c r="Q129" s="14">
        <v>2.0</v>
      </c>
      <c r="R129" s="15">
        <v>2.8235</v>
      </c>
      <c r="S129" s="15">
        <v>0.005647</v>
      </c>
      <c r="T129" s="26">
        <f t="shared" si="3"/>
        <v>0.00000007928869296</v>
      </c>
      <c r="V129" s="20" t="s">
        <v>153</v>
      </c>
      <c r="W129" s="21">
        <v>2.0</v>
      </c>
      <c r="X129" s="22">
        <v>2.723</v>
      </c>
      <c r="Y129" s="23">
        <v>0.005446</v>
      </c>
      <c r="Z129" s="24">
        <f t="shared" si="4"/>
        <v>0.00000007592170142</v>
      </c>
      <c r="AA129" s="17"/>
      <c r="AB129" s="4"/>
      <c r="AC129" s="29"/>
      <c r="AD129" s="20"/>
      <c r="AE129" s="21"/>
      <c r="AF129" s="23"/>
      <c r="AG129" s="23"/>
      <c r="AH129" s="26"/>
      <c r="AI129" s="3"/>
      <c r="AJ129" s="20"/>
      <c r="AK129" s="14"/>
      <c r="AL129" s="15"/>
      <c r="AM129" s="15"/>
      <c r="AN129" s="26"/>
      <c r="AP129" s="20"/>
      <c r="AQ129" s="21"/>
      <c r="AR129" s="23"/>
      <c r="AS129" s="23"/>
      <c r="AT129" s="26"/>
      <c r="AU129" s="3"/>
      <c r="AV129" s="20"/>
      <c r="AW129" s="14"/>
      <c r="AX129" s="15"/>
      <c r="AY129" s="15"/>
      <c r="AZ129" s="26"/>
    </row>
    <row r="130">
      <c r="B130" s="20"/>
      <c r="C130" s="21"/>
      <c r="D130" s="22"/>
      <c r="E130" s="23"/>
      <c r="F130" s="24"/>
      <c r="G130" s="17"/>
      <c r="H130" s="4"/>
      <c r="I130" s="29"/>
      <c r="J130" s="20"/>
      <c r="K130" s="21"/>
      <c r="L130" s="23"/>
      <c r="M130" s="23"/>
      <c r="N130" s="26"/>
      <c r="O130" s="3"/>
      <c r="P130" s="20"/>
      <c r="Q130" s="14"/>
      <c r="R130" s="15"/>
      <c r="S130" s="15"/>
      <c r="T130" s="26"/>
      <c r="V130" s="20"/>
      <c r="W130" s="21"/>
      <c r="X130" s="22"/>
      <c r="Y130" s="23"/>
      <c r="Z130" s="24"/>
      <c r="AA130" s="17"/>
      <c r="AB130" s="4"/>
      <c r="AC130" s="29"/>
      <c r="AD130" s="20"/>
      <c r="AE130" s="21"/>
      <c r="AF130" s="23"/>
      <c r="AG130" s="23"/>
      <c r="AH130" s="26"/>
      <c r="AI130" s="3"/>
      <c r="AJ130" s="20"/>
      <c r="AK130" s="14"/>
      <c r="AL130" s="15"/>
      <c r="AM130" s="15"/>
      <c r="AN130" s="26"/>
      <c r="AP130" s="20"/>
      <c r="AQ130" s="21"/>
      <c r="AR130" s="23"/>
      <c r="AS130" s="23"/>
      <c r="AT130" s="26"/>
      <c r="AU130" s="3"/>
      <c r="AV130" s="20"/>
      <c r="AW130" s="14"/>
      <c r="AX130" s="15"/>
      <c r="AY130" s="15"/>
      <c r="AZ130" s="26"/>
    </row>
    <row r="131">
      <c r="B131" s="20"/>
      <c r="C131" s="21"/>
      <c r="D131" s="22"/>
      <c r="E131" s="23"/>
      <c r="F131" s="24"/>
      <c r="G131" s="17"/>
      <c r="H131" s="4"/>
      <c r="I131" s="29"/>
      <c r="J131" s="20"/>
      <c r="K131" s="21"/>
      <c r="L131" s="23"/>
      <c r="M131" s="23"/>
      <c r="N131" s="26"/>
      <c r="O131" s="3"/>
      <c r="P131" s="20"/>
      <c r="Q131" s="14"/>
      <c r="R131" s="15"/>
      <c r="S131" s="15"/>
      <c r="T131" s="26"/>
      <c r="V131" s="20"/>
      <c r="W131" s="21"/>
      <c r="X131" s="22"/>
      <c r="Y131" s="23"/>
      <c r="Z131" s="24"/>
      <c r="AA131" s="17"/>
      <c r="AB131" s="4"/>
      <c r="AC131" s="29"/>
      <c r="AD131" s="20"/>
      <c r="AE131" s="21"/>
      <c r="AF131" s="23"/>
      <c r="AG131" s="23"/>
      <c r="AH131" s="26"/>
      <c r="AI131" s="3"/>
      <c r="AJ131" s="20"/>
      <c r="AK131" s="14"/>
      <c r="AL131" s="15"/>
      <c r="AM131" s="15"/>
      <c r="AN131" s="26"/>
      <c r="AP131" s="20"/>
      <c r="AQ131" s="21"/>
      <c r="AR131" s="23"/>
      <c r="AS131" s="23"/>
      <c r="AT131" s="26"/>
      <c r="AU131" s="3"/>
      <c r="AV131" s="20"/>
      <c r="AW131" s="14"/>
      <c r="AX131" s="15"/>
      <c r="AY131" s="15"/>
      <c r="AZ131" s="26"/>
    </row>
    <row r="132">
      <c r="B132" s="20"/>
      <c r="C132" s="21"/>
      <c r="D132" s="22"/>
      <c r="E132" s="23"/>
      <c r="F132" s="24"/>
      <c r="G132" s="17"/>
      <c r="H132" s="4"/>
      <c r="I132" s="29"/>
      <c r="J132" s="20"/>
      <c r="K132" s="21"/>
      <c r="L132" s="23"/>
      <c r="M132" s="23"/>
      <c r="N132" s="26"/>
      <c r="O132" s="3"/>
      <c r="P132" s="20"/>
      <c r="Q132" s="14"/>
      <c r="R132" s="15"/>
      <c r="S132" s="15"/>
      <c r="T132" s="26"/>
      <c r="V132" s="20"/>
      <c r="W132" s="21"/>
      <c r="X132" s="22"/>
      <c r="Y132" s="23"/>
      <c r="Z132" s="24"/>
      <c r="AA132" s="17"/>
      <c r="AB132" s="4"/>
      <c r="AC132" s="29"/>
      <c r="AD132" s="20"/>
      <c r="AE132" s="21"/>
      <c r="AF132" s="23"/>
      <c r="AG132" s="23"/>
      <c r="AH132" s="26"/>
      <c r="AI132" s="3"/>
      <c r="AJ132" s="20"/>
      <c r="AK132" s="14"/>
      <c r="AL132" s="15"/>
      <c r="AM132" s="15"/>
      <c r="AN132" s="26"/>
      <c r="AP132" s="20"/>
      <c r="AQ132" s="21"/>
      <c r="AR132" s="23"/>
      <c r="AS132" s="23"/>
      <c r="AT132" s="26"/>
      <c r="AU132" s="3"/>
      <c r="AV132" s="20"/>
      <c r="AW132" s="14"/>
      <c r="AX132" s="15"/>
      <c r="AY132" s="15"/>
      <c r="AZ132" s="26"/>
    </row>
    <row r="133">
      <c r="B133" s="20"/>
      <c r="C133" s="21"/>
      <c r="D133" s="22"/>
      <c r="E133" s="23"/>
      <c r="F133" s="24"/>
      <c r="G133" s="17"/>
      <c r="H133" s="4"/>
      <c r="I133" s="29"/>
      <c r="J133" s="20"/>
      <c r="K133" s="21"/>
      <c r="L133" s="23"/>
      <c r="M133" s="23"/>
      <c r="N133" s="26"/>
      <c r="O133" s="3"/>
      <c r="P133" s="20"/>
      <c r="Q133" s="14"/>
      <c r="R133" s="15"/>
      <c r="S133" s="15"/>
      <c r="T133" s="26"/>
      <c r="V133" s="20"/>
      <c r="W133" s="21"/>
      <c r="X133" s="22"/>
      <c r="Y133" s="23"/>
      <c r="Z133" s="24"/>
      <c r="AA133" s="17"/>
      <c r="AB133" s="4"/>
      <c r="AC133" s="29"/>
      <c r="AD133" s="20"/>
      <c r="AE133" s="21"/>
      <c r="AF133" s="23"/>
      <c r="AG133" s="23"/>
      <c r="AH133" s="26"/>
      <c r="AI133" s="3"/>
      <c r="AJ133" s="20"/>
      <c r="AK133" s="14"/>
      <c r="AL133" s="15"/>
      <c r="AM133" s="15"/>
      <c r="AN133" s="26"/>
      <c r="AP133" s="20"/>
      <c r="AQ133" s="21"/>
      <c r="AR133" s="23"/>
      <c r="AS133" s="23"/>
      <c r="AT133" s="26"/>
      <c r="AU133" s="3"/>
      <c r="AV133" s="20"/>
      <c r="AW133" s="14"/>
      <c r="AX133" s="15"/>
      <c r="AY133" s="15"/>
      <c r="AZ133" s="26"/>
    </row>
    <row r="134">
      <c r="B134" s="20"/>
      <c r="C134" s="21"/>
      <c r="D134" s="22"/>
      <c r="E134" s="23"/>
      <c r="F134" s="24"/>
      <c r="G134" s="17"/>
      <c r="H134" s="4"/>
      <c r="I134" s="29"/>
      <c r="J134" s="20"/>
      <c r="K134" s="21"/>
      <c r="L134" s="23"/>
      <c r="M134" s="23"/>
      <c r="N134" s="26"/>
      <c r="O134" s="3"/>
      <c r="P134" s="20"/>
      <c r="Q134" s="14"/>
      <c r="R134" s="15"/>
      <c r="S134" s="15"/>
      <c r="T134" s="26"/>
      <c r="V134" s="20"/>
      <c r="W134" s="21"/>
      <c r="X134" s="22"/>
      <c r="Y134" s="23"/>
      <c r="Z134" s="24"/>
      <c r="AA134" s="17"/>
      <c r="AB134" s="4"/>
      <c r="AC134" s="29"/>
      <c r="AD134" s="20"/>
      <c r="AE134" s="21"/>
      <c r="AF134" s="23"/>
      <c r="AG134" s="23"/>
      <c r="AH134" s="26"/>
      <c r="AI134" s="3"/>
      <c r="AJ134" s="20"/>
      <c r="AK134" s="14"/>
      <c r="AL134" s="15"/>
      <c r="AM134" s="15"/>
      <c r="AN134" s="26"/>
      <c r="AP134" s="20"/>
      <c r="AQ134" s="21"/>
      <c r="AR134" s="23"/>
      <c r="AS134" s="23"/>
      <c r="AT134" s="26"/>
      <c r="AU134" s="3"/>
      <c r="AV134" s="20"/>
      <c r="AW134" s="14"/>
      <c r="AX134" s="15"/>
      <c r="AY134" s="15"/>
      <c r="AZ134" s="26"/>
    </row>
    <row r="135">
      <c r="B135" s="20"/>
      <c r="C135" s="21"/>
      <c r="D135" s="22"/>
      <c r="E135" s="23"/>
      <c r="F135" s="24"/>
      <c r="G135" s="17"/>
      <c r="H135" s="4"/>
      <c r="I135" s="29"/>
      <c r="J135" s="20"/>
      <c r="K135" s="21"/>
      <c r="L135" s="23"/>
      <c r="M135" s="23"/>
      <c r="N135" s="26"/>
      <c r="O135" s="3"/>
      <c r="P135" s="20"/>
      <c r="Q135" s="14"/>
      <c r="R135" s="15"/>
      <c r="S135" s="15"/>
      <c r="T135" s="26"/>
      <c r="V135" s="20"/>
      <c r="W135" s="21"/>
      <c r="X135" s="22"/>
      <c r="Y135" s="23"/>
      <c r="Z135" s="24"/>
      <c r="AA135" s="17"/>
      <c r="AB135" s="4"/>
      <c r="AC135" s="29"/>
      <c r="AD135" s="20"/>
      <c r="AE135" s="21"/>
      <c r="AF135" s="23"/>
      <c r="AG135" s="23"/>
      <c r="AH135" s="26">
        <f t="shared" ref="AH135:AH140" si="9">AG135/$AG$142</f>
        <v>0</v>
      </c>
      <c r="AI135" s="3"/>
      <c r="AJ135" s="20"/>
      <c r="AK135" s="14"/>
      <c r="AL135" s="15"/>
      <c r="AM135" s="15"/>
      <c r="AN135" s="26">
        <f t="shared" ref="AN135:AN140" si="10">AM135/$AM$142</f>
        <v>0</v>
      </c>
      <c r="AP135" s="20"/>
      <c r="AQ135" s="21"/>
      <c r="AR135" s="23"/>
      <c r="AS135" s="23"/>
      <c r="AT135" s="26">
        <f t="shared" ref="AT135:AT140" si="11">AS135/$AS$142</f>
        <v>0</v>
      </c>
      <c r="AU135" s="3"/>
      <c r="AV135" s="20"/>
      <c r="AW135" s="14"/>
      <c r="AX135" s="15"/>
      <c r="AY135" s="15"/>
      <c r="AZ135" s="26">
        <f t="shared" ref="AZ135:AZ140" si="12">AY135/$AY$142</f>
        <v>0</v>
      </c>
    </row>
    <row r="136">
      <c r="B136" s="20"/>
      <c r="C136" s="21"/>
      <c r="D136" s="22"/>
      <c r="E136" s="23"/>
      <c r="F136" s="24"/>
      <c r="G136" s="17"/>
      <c r="H136" s="4"/>
      <c r="I136" s="29"/>
      <c r="J136" s="20"/>
      <c r="K136" s="21"/>
      <c r="L136" s="23"/>
      <c r="M136" s="23"/>
      <c r="N136" s="26"/>
      <c r="O136" s="3"/>
      <c r="P136" s="20"/>
      <c r="Q136" s="14"/>
      <c r="R136" s="15"/>
      <c r="S136" s="15"/>
      <c r="T136" s="26"/>
      <c r="V136" s="20"/>
      <c r="W136" s="21"/>
      <c r="X136" s="22"/>
      <c r="Y136" s="23"/>
      <c r="Z136" s="24"/>
      <c r="AA136" s="17"/>
      <c r="AB136" s="4"/>
      <c r="AC136" s="29"/>
      <c r="AD136" s="20"/>
      <c r="AE136" s="21"/>
      <c r="AF136" s="23"/>
      <c r="AG136" s="23"/>
      <c r="AH136" s="26">
        <f t="shared" si="9"/>
        <v>0</v>
      </c>
      <c r="AI136" s="3"/>
      <c r="AJ136" s="20"/>
      <c r="AK136" s="14"/>
      <c r="AL136" s="15"/>
      <c r="AM136" s="15"/>
      <c r="AN136" s="26">
        <f t="shared" si="10"/>
        <v>0</v>
      </c>
      <c r="AP136" s="20"/>
      <c r="AQ136" s="21"/>
      <c r="AR136" s="23"/>
      <c r="AS136" s="23"/>
      <c r="AT136" s="26">
        <f t="shared" si="11"/>
        <v>0</v>
      </c>
      <c r="AU136" s="3"/>
      <c r="AV136" s="20"/>
      <c r="AW136" s="14"/>
      <c r="AX136" s="15"/>
      <c r="AY136" s="15"/>
      <c r="AZ136" s="26">
        <f t="shared" si="12"/>
        <v>0</v>
      </c>
    </row>
    <row r="137">
      <c r="B137" s="20"/>
      <c r="C137" s="21"/>
      <c r="D137" s="22"/>
      <c r="E137" s="23"/>
      <c r="F137" s="24"/>
      <c r="G137" s="17"/>
      <c r="H137" s="4"/>
      <c r="I137" s="29"/>
      <c r="J137" s="20"/>
      <c r="K137" s="21"/>
      <c r="L137" s="23"/>
      <c r="M137" s="23"/>
      <c r="N137" s="26"/>
      <c r="O137" s="3"/>
      <c r="P137" s="20"/>
      <c r="Q137" s="14"/>
      <c r="R137" s="15"/>
      <c r="S137" s="15"/>
      <c r="T137" s="26"/>
      <c r="V137" s="20"/>
      <c r="W137" s="21"/>
      <c r="X137" s="22"/>
      <c r="Y137" s="23"/>
      <c r="Z137" s="24"/>
      <c r="AA137" s="17"/>
      <c r="AB137" s="4"/>
      <c r="AC137" s="29"/>
      <c r="AD137" s="20"/>
      <c r="AE137" s="21"/>
      <c r="AF137" s="23"/>
      <c r="AG137" s="23"/>
      <c r="AH137" s="26">
        <f t="shared" si="9"/>
        <v>0</v>
      </c>
      <c r="AI137" s="3"/>
      <c r="AJ137" s="20"/>
      <c r="AK137" s="14"/>
      <c r="AL137" s="15"/>
      <c r="AM137" s="15"/>
      <c r="AN137" s="26">
        <f t="shared" si="10"/>
        <v>0</v>
      </c>
      <c r="AP137" s="20"/>
      <c r="AQ137" s="21"/>
      <c r="AR137" s="23"/>
      <c r="AS137" s="23"/>
      <c r="AT137" s="26">
        <f t="shared" si="11"/>
        <v>0</v>
      </c>
      <c r="AU137" s="3"/>
      <c r="AV137" s="20"/>
      <c r="AW137" s="14"/>
      <c r="AX137" s="15"/>
      <c r="AY137" s="15"/>
      <c r="AZ137" s="26">
        <f t="shared" si="12"/>
        <v>0</v>
      </c>
    </row>
    <row r="138">
      <c r="B138" s="13"/>
      <c r="C138" s="14"/>
      <c r="D138" s="15"/>
      <c r="E138" s="14"/>
      <c r="F138" s="24"/>
      <c r="G138" s="17"/>
      <c r="H138" s="4"/>
      <c r="I138" s="29"/>
      <c r="J138" s="13"/>
      <c r="K138" s="14"/>
      <c r="L138" s="15"/>
      <c r="M138" s="15"/>
      <c r="N138" s="26"/>
      <c r="O138" s="3"/>
      <c r="P138" s="13"/>
      <c r="Q138" s="31"/>
      <c r="R138" s="32"/>
      <c r="S138" s="32"/>
      <c r="T138" s="26"/>
      <c r="V138" s="13"/>
      <c r="W138" s="14"/>
      <c r="X138" s="15"/>
      <c r="Y138" s="14"/>
      <c r="Z138" s="24"/>
      <c r="AA138" s="17"/>
      <c r="AB138" s="4"/>
      <c r="AC138" s="29"/>
      <c r="AD138" s="13"/>
      <c r="AE138" s="14"/>
      <c r="AF138" s="15"/>
      <c r="AG138" s="15"/>
      <c r="AH138" s="26">
        <f t="shared" si="9"/>
        <v>0</v>
      </c>
      <c r="AI138" s="3"/>
      <c r="AJ138" s="13"/>
      <c r="AK138" s="31"/>
      <c r="AL138" s="32"/>
      <c r="AM138" s="32"/>
      <c r="AN138" s="26">
        <f t="shared" si="10"/>
        <v>0</v>
      </c>
      <c r="AP138" s="13"/>
      <c r="AQ138" s="14"/>
      <c r="AR138" s="15"/>
      <c r="AS138" s="15"/>
      <c r="AT138" s="26">
        <f t="shared" si="11"/>
        <v>0</v>
      </c>
      <c r="AU138" s="3"/>
      <c r="AV138" s="13"/>
      <c r="AW138" s="31"/>
      <c r="AX138" s="32"/>
      <c r="AY138" s="32"/>
      <c r="AZ138" s="26">
        <f t="shared" si="12"/>
        <v>0</v>
      </c>
    </row>
    <row r="139">
      <c r="B139" s="13"/>
      <c r="C139" s="14"/>
      <c r="D139" s="15"/>
      <c r="E139" s="14"/>
      <c r="F139" s="24"/>
      <c r="G139" s="17"/>
      <c r="H139" s="4"/>
      <c r="I139" s="29"/>
      <c r="J139" s="13"/>
      <c r="K139" s="31"/>
      <c r="L139" s="32"/>
      <c r="M139" s="32"/>
      <c r="N139" s="26"/>
      <c r="O139" s="3"/>
      <c r="P139" s="13"/>
      <c r="Q139" s="31"/>
      <c r="R139" s="32"/>
      <c r="S139" s="32"/>
      <c r="T139" s="26"/>
      <c r="V139" s="13"/>
      <c r="W139" s="14"/>
      <c r="X139" s="15"/>
      <c r="Y139" s="14"/>
      <c r="Z139" s="24"/>
      <c r="AA139" s="17"/>
      <c r="AB139" s="4"/>
      <c r="AC139" s="29"/>
      <c r="AD139" s="13"/>
      <c r="AE139" s="31"/>
      <c r="AF139" s="32"/>
      <c r="AG139" s="32"/>
      <c r="AH139" s="26">
        <f t="shared" si="9"/>
        <v>0</v>
      </c>
      <c r="AI139" s="3"/>
      <c r="AJ139" s="13"/>
      <c r="AK139" s="31"/>
      <c r="AL139" s="32"/>
      <c r="AM139" s="32"/>
      <c r="AN139" s="26">
        <f t="shared" si="10"/>
        <v>0</v>
      </c>
      <c r="AP139" s="13"/>
      <c r="AQ139" s="31"/>
      <c r="AR139" s="32"/>
      <c r="AS139" s="32"/>
      <c r="AT139" s="26">
        <f t="shared" si="11"/>
        <v>0</v>
      </c>
      <c r="AU139" s="3"/>
      <c r="AV139" s="13"/>
      <c r="AW139" s="31"/>
      <c r="AX139" s="32"/>
      <c r="AY139" s="32"/>
      <c r="AZ139" s="26">
        <f t="shared" si="12"/>
        <v>0</v>
      </c>
    </row>
    <row r="140">
      <c r="B140" s="14"/>
      <c r="C140" s="14"/>
      <c r="D140" s="15"/>
      <c r="E140" s="14"/>
      <c r="F140" s="24"/>
      <c r="G140" s="33"/>
      <c r="H140" s="4"/>
      <c r="I140" s="29"/>
      <c r="J140" s="14"/>
      <c r="K140" s="31"/>
      <c r="L140" s="32"/>
      <c r="M140" s="32"/>
      <c r="N140" s="26"/>
      <c r="O140" s="3"/>
      <c r="P140" s="14"/>
      <c r="Q140" s="31"/>
      <c r="R140" s="32"/>
      <c r="S140" s="32"/>
      <c r="T140" s="26"/>
      <c r="V140" s="14"/>
      <c r="W140" s="14"/>
      <c r="X140" s="15"/>
      <c r="Y140" s="14"/>
      <c r="Z140" s="24"/>
      <c r="AA140" s="33"/>
      <c r="AB140" s="4"/>
      <c r="AC140" s="29"/>
      <c r="AD140" s="14"/>
      <c r="AE140" s="31"/>
      <c r="AF140" s="32"/>
      <c r="AG140" s="32"/>
      <c r="AH140" s="26">
        <f t="shared" si="9"/>
        <v>0</v>
      </c>
      <c r="AI140" s="3"/>
      <c r="AJ140" s="14"/>
      <c r="AK140" s="31"/>
      <c r="AL140" s="32"/>
      <c r="AM140" s="32"/>
      <c r="AN140" s="26">
        <f t="shared" si="10"/>
        <v>0</v>
      </c>
      <c r="AP140" s="14"/>
      <c r="AQ140" s="31"/>
      <c r="AR140" s="32"/>
      <c r="AS140" s="32"/>
      <c r="AT140" s="26">
        <f t="shared" si="11"/>
        <v>0</v>
      </c>
      <c r="AU140" s="3"/>
      <c r="AV140" s="14"/>
      <c r="AW140" s="31"/>
      <c r="AX140" s="32"/>
      <c r="AY140" s="32"/>
      <c r="AZ140" s="26">
        <f t="shared" si="12"/>
        <v>0</v>
      </c>
    </row>
    <row r="141">
      <c r="B141" s="3"/>
      <c r="C141" s="34" t="s">
        <v>154</v>
      </c>
      <c r="D141" s="35" t="s">
        <v>155</v>
      </c>
      <c r="E141" s="35" t="s">
        <v>14</v>
      </c>
      <c r="F141" s="36" t="s">
        <v>156</v>
      </c>
      <c r="G141" s="4"/>
      <c r="H141" s="4"/>
      <c r="I141" s="37"/>
      <c r="J141" s="3"/>
      <c r="K141" s="34" t="s">
        <v>154</v>
      </c>
      <c r="L141" s="35" t="s">
        <v>155</v>
      </c>
      <c r="M141" s="35" t="s">
        <v>14</v>
      </c>
      <c r="N141" s="36" t="s">
        <v>156</v>
      </c>
      <c r="O141" s="4"/>
      <c r="P141" s="3"/>
      <c r="Q141" s="34" t="s">
        <v>154</v>
      </c>
      <c r="R141" s="35" t="s">
        <v>155</v>
      </c>
      <c r="S141" s="35" t="s">
        <v>14</v>
      </c>
      <c r="T141" s="36" t="s">
        <v>156</v>
      </c>
      <c r="V141" s="3"/>
      <c r="W141" s="34" t="s">
        <v>154</v>
      </c>
      <c r="X141" s="35" t="s">
        <v>155</v>
      </c>
      <c r="Y141" s="35" t="s">
        <v>14</v>
      </c>
      <c r="Z141" s="36" t="s">
        <v>156</v>
      </c>
      <c r="AA141" s="4"/>
      <c r="AB141" s="4"/>
      <c r="AC141" s="37"/>
      <c r="AD141" s="3"/>
      <c r="AE141" s="34" t="s">
        <v>154</v>
      </c>
      <c r="AF141" s="35" t="s">
        <v>155</v>
      </c>
      <c r="AG141" s="35" t="s">
        <v>14</v>
      </c>
      <c r="AH141" s="36" t="s">
        <v>156</v>
      </c>
      <c r="AI141" s="4"/>
      <c r="AJ141" s="3"/>
      <c r="AK141" s="34" t="s">
        <v>154</v>
      </c>
      <c r="AL141" s="35" t="s">
        <v>155</v>
      </c>
      <c r="AM141" s="35" t="s">
        <v>14</v>
      </c>
      <c r="AN141" s="36" t="s">
        <v>156</v>
      </c>
      <c r="AP141" s="3"/>
      <c r="AQ141" s="34" t="s">
        <v>154</v>
      </c>
      <c r="AR141" s="35" t="s">
        <v>155</v>
      </c>
      <c r="AS141" s="35" t="s">
        <v>14</v>
      </c>
      <c r="AT141" s="36" t="s">
        <v>156</v>
      </c>
      <c r="AU141" s="4"/>
      <c r="AV141" s="3"/>
      <c r="AW141" s="34" t="s">
        <v>154</v>
      </c>
      <c r="AX141" s="35" t="s">
        <v>155</v>
      </c>
      <c r="AY141" s="35" t="s">
        <v>14</v>
      </c>
      <c r="AZ141" s="36" t="s">
        <v>156</v>
      </c>
    </row>
    <row r="142">
      <c r="B142" s="3"/>
      <c r="C142" s="38"/>
      <c r="D142" s="25" t="s">
        <v>157</v>
      </c>
      <c r="E142" s="39">
        <f>SUM(E8:E140)</f>
        <v>71102.02643</v>
      </c>
      <c r="F142" s="40" t="str">
        <f>E142/E143</f>
        <v>#DIV/0!</v>
      </c>
      <c r="G142" s="4"/>
      <c r="H142" s="4"/>
      <c r="I142" s="37"/>
      <c r="J142" s="3"/>
      <c r="K142" s="38"/>
      <c r="L142" s="25" t="s">
        <v>157</v>
      </c>
      <c r="M142" s="39">
        <f>SUM(M8:M140)</f>
        <v>71392.24859</v>
      </c>
      <c r="N142" s="40" t="str">
        <f>M142/M143</f>
        <v>#DIV/0!</v>
      </c>
      <c r="O142" s="4"/>
      <c r="P142" s="3"/>
      <c r="Q142" s="38"/>
      <c r="R142" s="25" t="s">
        <v>157</v>
      </c>
      <c r="S142" s="39">
        <f>SUM(S8:S140)</f>
        <v>71220.74774</v>
      </c>
      <c r="T142" s="40" t="str">
        <f>S142/S143</f>
        <v>#DIV/0!</v>
      </c>
      <c r="V142" s="3"/>
      <c r="W142" s="38"/>
      <c r="X142" s="25" t="s">
        <v>157</v>
      </c>
      <c r="Y142" s="39">
        <f>SUM(Y8:Y140)</f>
        <v>71731.79602</v>
      </c>
      <c r="Z142" s="40" t="str">
        <f>Y142/Y143</f>
        <v>#DIV/0!</v>
      </c>
      <c r="AA142" s="4"/>
      <c r="AB142" s="4"/>
      <c r="AC142" s="37"/>
      <c r="AD142" s="3"/>
      <c r="AE142" s="38"/>
      <c r="AF142" s="25" t="s">
        <v>157</v>
      </c>
      <c r="AG142" s="39">
        <f>SUM(AG8:AG140)</f>
        <v>72091.8342</v>
      </c>
      <c r="AH142" s="40" t="str">
        <f>AG142/AG143</f>
        <v>#DIV/0!</v>
      </c>
      <c r="AI142" s="4"/>
      <c r="AJ142" s="3"/>
      <c r="AK142" s="38"/>
      <c r="AL142" s="25" t="s">
        <v>157</v>
      </c>
      <c r="AM142" s="39">
        <f>SUM(AM8:AM140)</f>
        <v>71853.80226</v>
      </c>
      <c r="AN142" s="40" t="str">
        <f>AM142/AM143</f>
        <v>#DIV/0!</v>
      </c>
      <c r="AP142" s="3"/>
      <c r="AQ142" s="38"/>
      <c r="AR142" s="25" t="s">
        <v>157</v>
      </c>
      <c r="AS142" s="39">
        <f>SUM(AS8:AS140)</f>
        <v>71876.87984</v>
      </c>
      <c r="AT142" s="40" t="str">
        <f>AS142/AS143</f>
        <v>#DIV/0!</v>
      </c>
      <c r="AU142" s="4"/>
      <c r="AV142" s="3"/>
      <c r="AW142" s="38"/>
      <c r="AX142" s="25" t="s">
        <v>157</v>
      </c>
      <c r="AY142" s="39">
        <f>SUM(AY8:AY140)</f>
        <v>71441.29172</v>
      </c>
      <c r="AZ142" s="40" t="str">
        <f>AY142/AY143</f>
        <v>#DIV/0!</v>
      </c>
    </row>
    <row r="143">
      <c r="B143" s="3"/>
      <c r="C143" s="38"/>
      <c r="D143" s="25" t="s">
        <v>158</v>
      </c>
      <c r="E143" s="41"/>
      <c r="F143" s="40">
        <v>1.0</v>
      </c>
      <c r="G143" s="4"/>
      <c r="H143" s="4"/>
      <c r="I143" s="37"/>
      <c r="J143" s="3"/>
      <c r="K143" s="38"/>
      <c r="L143" s="25" t="s">
        <v>158</v>
      </c>
      <c r="M143" s="41"/>
      <c r="N143" s="40">
        <v>1.0</v>
      </c>
      <c r="O143" s="4"/>
      <c r="P143" s="3"/>
      <c r="Q143" s="38"/>
      <c r="R143" s="25" t="s">
        <v>158</v>
      </c>
      <c r="S143" s="41"/>
      <c r="T143" s="40">
        <v>1.0</v>
      </c>
      <c r="V143" s="3"/>
      <c r="W143" s="38"/>
      <c r="X143" s="25" t="s">
        <v>158</v>
      </c>
      <c r="Y143" s="41"/>
      <c r="Z143" s="40">
        <v>1.0</v>
      </c>
      <c r="AA143" s="4"/>
      <c r="AB143" s="4"/>
      <c r="AC143" s="37"/>
      <c r="AD143" s="3"/>
      <c r="AE143" s="38"/>
      <c r="AF143" s="25" t="s">
        <v>158</v>
      </c>
      <c r="AG143" s="41"/>
      <c r="AH143" s="40">
        <v>1.0</v>
      </c>
      <c r="AI143" s="4"/>
      <c r="AJ143" s="3"/>
      <c r="AK143" s="38"/>
      <c r="AL143" s="25" t="s">
        <v>158</v>
      </c>
      <c r="AM143" s="41"/>
      <c r="AN143" s="40">
        <v>1.0</v>
      </c>
      <c r="AP143" s="3"/>
      <c r="AQ143" s="38"/>
      <c r="AR143" s="25" t="s">
        <v>158</v>
      </c>
      <c r="AS143" s="41"/>
      <c r="AT143" s="40">
        <v>1.0</v>
      </c>
      <c r="AU143" s="4"/>
      <c r="AV143" s="3"/>
      <c r="AW143" s="38"/>
      <c r="AX143" s="25" t="s">
        <v>158</v>
      </c>
      <c r="AY143" s="41"/>
      <c r="AZ143" s="40">
        <v>1.0</v>
      </c>
    </row>
    <row r="144">
      <c r="B144" s="3"/>
      <c r="C144" s="38"/>
      <c r="D144" s="25" t="s">
        <v>159</v>
      </c>
      <c r="E144" s="39">
        <f>E143-E142</f>
        <v>-71102.02643</v>
      </c>
      <c r="F144" s="40" t="str">
        <f>E144/E143</f>
        <v>#DIV/0!</v>
      </c>
      <c r="G144" s="4"/>
      <c r="H144" s="4"/>
      <c r="I144" s="37"/>
      <c r="J144" s="3"/>
      <c r="K144" s="38"/>
      <c r="L144" s="25" t="s">
        <v>159</v>
      </c>
      <c r="M144" s="39">
        <f>M143-M142</f>
        <v>-71392.24859</v>
      </c>
      <c r="N144" s="40" t="str">
        <f>M144/M143</f>
        <v>#DIV/0!</v>
      </c>
      <c r="O144" s="4"/>
      <c r="P144" s="3"/>
      <c r="Q144" s="38"/>
      <c r="R144" s="25" t="s">
        <v>159</v>
      </c>
      <c r="S144" s="39">
        <f>S143-S142</f>
        <v>-71220.74774</v>
      </c>
      <c r="T144" s="40" t="str">
        <f>S144/S143</f>
        <v>#DIV/0!</v>
      </c>
      <c r="V144" s="3"/>
      <c r="W144" s="38"/>
      <c r="X144" s="25" t="s">
        <v>159</v>
      </c>
      <c r="Y144" s="39">
        <f>Y143-Y142</f>
        <v>-71731.79602</v>
      </c>
      <c r="Z144" s="40" t="str">
        <f>Y144/Y143</f>
        <v>#DIV/0!</v>
      </c>
      <c r="AA144" s="4"/>
      <c r="AB144" s="4"/>
      <c r="AC144" s="37"/>
      <c r="AD144" s="3"/>
      <c r="AE144" s="38"/>
      <c r="AF144" s="25" t="s">
        <v>159</v>
      </c>
      <c r="AG144" s="39">
        <f>AG143-AG142</f>
        <v>-72091.8342</v>
      </c>
      <c r="AH144" s="40" t="str">
        <f>AG144/AG143</f>
        <v>#DIV/0!</v>
      </c>
      <c r="AI144" s="4"/>
      <c r="AJ144" s="3"/>
      <c r="AK144" s="38"/>
      <c r="AL144" s="25" t="s">
        <v>159</v>
      </c>
      <c r="AM144" s="39">
        <f>AM143-AM142</f>
        <v>-71853.80226</v>
      </c>
      <c r="AN144" s="40" t="str">
        <f>AM144/AM143</f>
        <v>#DIV/0!</v>
      </c>
      <c r="AP144" s="3"/>
      <c r="AQ144" s="38"/>
      <c r="AR144" s="25" t="s">
        <v>159</v>
      </c>
      <c r="AS144" s="39">
        <f>AS143-AS142</f>
        <v>-71876.87984</v>
      </c>
      <c r="AT144" s="40" t="str">
        <f>AS144/AS143</f>
        <v>#DIV/0!</v>
      </c>
      <c r="AU144" s="4"/>
      <c r="AV144" s="3"/>
      <c r="AW144" s="38"/>
      <c r="AX144" s="25" t="s">
        <v>159</v>
      </c>
      <c r="AY144" s="39">
        <f>AY143-AY142</f>
        <v>-71441.29172</v>
      </c>
      <c r="AZ144" s="40" t="str">
        <f>AY144/AY143</f>
        <v>#DIV/0!</v>
      </c>
    </row>
    <row r="145">
      <c r="B145" s="3"/>
      <c r="C145" s="38"/>
      <c r="D145" s="25" t="s">
        <v>160</v>
      </c>
      <c r="E145" s="39" t="s">
        <v>161</v>
      </c>
      <c r="F145" s="42"/>
      <c r="G145" s="4"/>
      <c r="H145" s="4"/>
      <c r="I145" s="37"/>
      <c r="J145" s="3"/>
      <c r="K145" s="38"/>
      <c r="L145" s="25" t="s">
        <v>160</v>
      </c>
      <c r="M145" s="39" t="s">
        <v>161</v>
      </c>
      <c r="N145" s="42"/>
      <c r="O145" s="4"/>
      <c r="P145" s="3"/>
      <c r="Q145" s="38"/>
      <c r="R145" s="25" t="s">
        <v>160</v>
      </c>
      <c r="S145" s="39" t="s">
        <v>161</v>
      </c>
      <c r="T145" s="42"/>
      <c r="V145" s="3"/>
      <c r="W145" s="38"/>
      <c r="X145" s="25" t="s">
        <v>160</v>
      </c>
      <c r="Y145" s="39" t="s">
        <v>161</v>
      </c>
      <c r="Z145" s="42"/>
      <c r="AA145" s="4"/>
      <c r="AB145" s="4"/>
      <c r="AC145" s="37"/>
      <c r="AD145" s="3"/>
      <c r="AE145" s="38"/>
      <c r="AF145" s="25" t="s">
        <v>160</v>
      </c>
      <c r="AG145" s="39" t="s">
        <v>161</v>
      </c>
      <c r="AH145" s="42"/>
      <c r="AI145" s="4"/>
      <c r="AJ145" s="3"/>
      <c r="AK145" s="38"/>
      <c r="AL145" s="25" t="s">
        <v>160</v>
      </c>
      <c r="AM145" s="39" t="s">
        <v>161</v>
      </c>
      <c r="AN145" s="42"/>
      <c r="AP145" s="3"/>
      <c r="AQ145" s="38"/>
      <c r="AR145" s="25" t="s">
        <v>160</v>
      </c>
      <c r="AS145" s="39" t="s">
        <v>161</v>
      </c>
      <c r="AT145" s="42"/>
      <c r="AU145" s="4"/>
      <c r="AV145" s="3"/>
      <c r="AW145" s="38"/>
      <c r="AX145" s="25" t="s">
        <v>160</v>
      </c>
      <c r="AY145" s="39" t="s">
        <v>161</v>
      </c>
      <c r="AZ145" s="42"/>
    </row>
    <row r="146">
      <c r="B146" s="3"/>
      <c r="C146" s="38"/>
      <c r="D146" s="25" t="s">
        <v>162</v>
      </c>
      <c r="E146" s="39" t="s">
        <v>161</v>
      </c>
      <c r="F146" s="19"/>
      <c r="G146" s="43"/>
      <c r="H146" s="4"/>
      <c r="I146" s="37"/>
      <c r="J146" s="3"/>
      <c r="K146" s="38"/>
      <c r="L146" s="25" t="s">
        <v>162</v>
      </c>
      <c r="M146" s="39" t="s">
        <v>161</v>
      </c>
      <c r="N146" s="19"/>
      <c r="O146" s="43"/>
      <c r="P146" s="3"/>
      <c r="Q146" s="38"/>
      <c r="R146" s="25" t="s">
        <v>162</v>
      </c>
      <c r="S146" s="39" t="s">
        <v>161</v>
      </c>
      <c r="T146" s="19"/>
      <c r="V146" s="3"/>
      <c r="W146" s="38"/>
      <c r="X146" s="25" t="s">
        <v>162</v>
      </c>
      <c r="Y146" s="39" t="s">
        <v>161</v>
      </c>
      <c r="Z146" s="19"/>
      <c r="AA146" s="43"/>
      <c r="AB146" s="4"/>
      <c r="AC146" s="37"/>
      <c r="AD146" s="3"/>
      <c r="AE146" s="38"/>
      <c r="AF146" s="25" t="s">
        <v>162</v>
      </c>
      <c r="AG146" s="39" t="s">
        <v>161</v>
      </c>
      <c r="AH146" s="19"/>
      <c r="AI146" s="43"/>
      <c r="AJ146" s="3"/>
      <c r="AK146" s="38"/>
      <c r="AL146" s="25" t="s">
        <v>162</v>
      </c>
      <c r="AM146" s="39" t="s">
        <v>161</v>
      </c>
      <c r="AN146" s="19"/>
      <c r="AP146" s="3"/>
      <c r="AQ146" s="38"/>
      <c r="AR146" s="25" t="s">
        <v>162</v>
      </c>
      <c r="AS146" s="39" t="s">
        <v>161</v>
      </c>
      <c r="AT146" s="19"/>
      <c r="AU146" s="43"/>
      <c r="AV146" s="3"/>
      <c r="AW146" s="38"/>
      <c r="AX146" s="25" t="s">
        <v>162</v>
      </c>
      <c r="AY146" s="39" t="s">
        <v>161</v>
      </c>
      <c r="AZ146" s="19"/>
    </row>
    <row r="147">
      <c r="B147" s="3"/>
      <c r="C147" s="38"/>
      <c r="D147" s="25" t="s">
        <v>26</v>
      </c>
      <c r="E147" s="39">
        <f>SUMIF(B7:B140, "*moe*", E7:E140)
</f>
        <v>7455.391817</v>
      </c>
      <c r="F147" s="40" t="str">
        <f>ROUND(E147/E143, 2)</f>
        <v>#DIV/0!</v>
      </c>
      <c r="G147" s="40"/>
      <c r="H147" s="4"/>
      <c r="I147" s="37"/>
      <c r="J147" s="3"/>
      <c r="K147" s="38"/>
      <c r="L147" s="25" t="s">
        <v>26</v>
      </c>
      <c r="M147" s="39">
        <f>SUMIF(J7:J140, "*moe*", M7:M140)
</f>
        <v>7315.43779</v>
      </c>
      <c r="N147" s="40" t="str">
        <f>ROUND(M147/M143, 2)</f>
        <v>#DIV/0!</v>
      </c>
      <c r="O147" s="40"/>
      <c r="P147" s="3"/>
      <c r="Q147" s="38"/>
      <c r="R147" s="25" t="s">
        <v>26</v>
      </c>
      <c r="S147" s="39">
        <f>SUMIF(P7:P140, "*moe*", S7:S140)
</f>
        <v>7450.506524</v>
      </c>
      <c r="T147" s="40" t="str">
        <f>ROUND(S147/S143, 2)</f>
        <v>#DIV/0!</v>
      </c>
      <c r="V147" s="3"/>
      <c r="W147" s="38"/>
      <c r="X147" s="25" t="s">
        <v>26</v>
      </c>
      <c r="Y147" s="39">
        <f>SUMIF(V7:V140, "*moe*", Y7:Y140)
</f>
        <v>7382.991749</v>
      </c>
      <c r="Z147" s="40" t="str">
        <f>ROUND(Y147/Y143, 2)</f>
        <v>#DIV/0!</v>
      </c>
      <c r="AA147" s="40"/>
      <c r="AB147" s="4"/>
      <c r="AC147" s="37"/>
      <c r="AD147" s="3"/>
      <c r="AE147" s="38"/>
      <c r="AF147" s="25" t="s">
        <v>26</v>
      </c>
      <c r="AG147" s="39">
        <f>SUMIF(AD7:AD140, "*moe*", AG7:AG140)
</f>
        <v>7366.258166</v>
      </c>
      <c r="AH147" s="40" t="str">
        <f>ROUND(AG147/AG143, 2)</f>
        <v>#DIV/0!</v>
      </c>
      <c r="AI147" s="40"/>
      <c r="AJ147" s="3"/>
      <c r="AK147" s="38"/>
      <c r="AL147" s="25" t="s">
        <v>26</v>
      </c>
      <c r="AM147" s="39">
        <f>SUMIF(AJ7:AJ140, "*moe*", AM7:AM140)
</f>
        <v>7372.606124</v>
      </c>
      <c r="AN147" s="40" t="str">
        <f>ROUND(AM147/AM143, 2)</f>
        <v>#DIV/0!</v>
      </c>
      <c r="AP147" s="3"/>
      <c r="AQ147" s="38"/>
      <c r="AR147" s="25" t="s">
        <v>26</v>
      </c>
      <c r="AS147" s="39">
        <f>SUMIF(AP7:AP140, "*moe*", AS7:AS140)
</f>
        <v>7289.936067</v>
      </c>
      <c r="AT147" s="40" t="str">
        <f>ROUND(AS147/AS143, 2)</f>
        <v>#DIV/0!</v>
      </c>
      <c r="AU147" s="40"/>
      <c r="AV147" s="3"/>
      <c r="AW147" s="38"/>
      <c r="AX147" s="25" t="s">
        <v>26</v>
      </c>
      <c r="AY147" s="39">
        <f>SUMIF(AV7:AV140, "*moe*", AY7:AY140)
</f>
        <v>7473.408457</v>
      </c>
      <c r="AZ147" s="40" t="str">
        <f>ROUND(AY147/AY143, 2)</f>
        <v>#DIV/0!</v>
      </c>
    </row>
    <row r="148">
      <c r="B148" s="3"/>
      <c r="C148" s="38"/>
      <c r="D148" s="25" t="s">
        <v>28</v>
      </c>
      <c r="E148" s="39">
        <f>SUMIF(B7:B140, "*cross_device*", E7:E140) + SUMIF(B7:B140, "*nccl*", E7:E140) </f>
        <v>40385.36184</v>
      </c>
      <c r="F148" s="40" t="str">
        <f>ROUND(E148/E143, 2)</f>
        <v>#DIV/0!</v>
      </c>
      <c r="G148" s="40"/>
      <c r="H148" s="4"/>
      <c r="I148" s="4"/>
      <c r="J148" s="3"/>
      <c r="K148" s="38"/>
      <c r="L148" s="25" t="s">
        <v>28</v>
      </c>
      <c r="M148" s="39">
        <f>SUMIF(J7:J140, "*cross_device*", M7:M140) + SUMIF(J7:J140, "*nccl*", M7:M140) </f>
        <v>41635.7873</v>
      </c>
      <c r="N148" s="40" t="str">
        <f>ROUND(M148/M143, 2)</f>
        <v>#DIV/0!</v>
      </c>
      <c r="O148" s="40"/>
      <c r="P148" s="3"/>
      <c r="Q148" s="38"/>
      <c r="R148" s="25" t="s">
        <v>28</v>
      </c>
      <c r="S148" s="39">
        <f>SUMIF(P7:P140, "*cross_device*", S7:S140) + SUMIF(P7:P140, "*nccl*", S7:S140) </f>
        <v>40957.26137</v>
      </c>
      <c r="T148" s="40" t="str">
        <f>ROUND(S148/S143, 2)</f>
        <v>#DIV/0!</v>
      </c>
      <c r="V148" s="3"/>
      <c r="W148" s="38"/>
      <c r="X148" s="25" t="s">
        <v>28</v>
      </c>
      <c r="Y148" s="39">
        <f>SUMIF(V7:V140, "*cross_device*", Y7:Y140) + SUMIF(V7:V140, "*nccl*", Y7:Y140) </f>
        <v>41935.04888</v>
      </c>
      <c r="Z148" s="40" t="str">
        <f>ROUND(Y148/Y143, 2)</f>
        <v>#DIV/0!</v>
      </c>
      <c r="AA148" s="40"/>
      <c r="AB148" s="4"/>
      <c r="AC148" s="4"/>
      <c r="AD148" s="3"/>
      <c r="AE148" s="38"/>
      <c r="AF148" s="25" t="s">
        <v>28</v>
      </c>
      <c r="AG148" s="39">
        <f>SUMIF(AD7:AD140, "*cross_device*", AG7:AG140) + SUMIF(AD7:AD140, "*nccl*", AG7:AG140) </f>
        <v>41965.68836</v>
      </c>
      <c r="AH148" s="40" t="str">
        <f>ROUND(AG148/AG143, 2)</f>
        <v>#DIV/0!</v>
      </c>
      <c r="AI148" s="40"/>
      <c r="AJ148" s="3"/>
      <c r="AK148" s="38"/>
      <c r="AL148" s="25" t="s">
        <v>28</v>
      </c>
      <c r="AM148" s="39">
        <f>SUMIF(AJ7:AJ140, "*cross_device*", AM7:AM140) + SUMIF(AJ7:AJ140, "*nccl*", AM7:AM140) </f>
        <v>44161.96711</v>
      </c>
      <c r="AN148" s="40" t="str">
        <f>ROUND(AM148/AM143, 2)</f>
        <v>#DIV/0!</v>
      </c>
      <c r="AP148" s="3"/>
      <c r="AQ148" s="38"/>
      <c r="AR148" s="25" t="s">
        <v>28</v>
      </c>
      <c r="AS148" s="39">
        <f>SUMIF(AP7:AP140, "*cross_device*", AS7:AS140) + SUMIF(AP7:AP140, "*nccl*", AS7:AS140) </f>
        <v>44458.95281</v>
      </c>
      <c r="AT148" s="40" t="str">
        <f>ROUND(AS148/AS143, 2)</f>
        <v>#DIV/0!</v>
      </c>
      <c r="AU148" s="40"/>
      <c r="AV148" s="3"/>
      <c r="AW148" s="38"/>
      <c r="AX148" s="25" t="s">
        <v>28</v>
      </c>
      <c r="AY148" s="39">
        <f>SUMIF(AV7:AV140, "*cross_device*", AY7:AY140) + SUMIF(AV7:AV140, "*nccl*", AY7:AY140) </f>
        <v>40302.06099</v>
      </c>
      <c r="AZ148" s="40" t="str">
        <f>ROUND(AY148/AY143, 2)</f>
        <v>#DIV/0!</v>
      </c>
    </row>
    <row r="149">
      <c r="B149" s="3"/>
      <c r="C149" s="38"/>
      <c r="D149" s="25" t="s">
        <v>16</v>
      </c>
      <c r="E149" s="39">
        <f>SUMIF(B7:B140, "*get_paged_kv_in*", E7:E140) + SUMIF(B7:B140, "*_fwd_kernel*", E7:E140)  + SUMIF(B7:B140, "*mla*", E7:E140) </f>
        <v>3773.213097</v>
      </c>
      <c r="F149" s="40" t="str">
        <f>round(E149/E143,2)</f>
        <v>#DIV/0!</v>
      </c>
      <c r="G149" s="40"/>
      <c r="H149" s="4"/>
      <c r="I149" s="4"/>
      <c r="J149" s="3"/>
      <c r="K149" s="38"/>
      <c r="L149" s="25" t="s">
        <v>16</v>
      </c>
      <c r="M149" s="39">
        <f>SUMIF(J7:J140, "*get_paged_kv_in*", M7:M140) + SUMIF(J7:J140, "*_fwd_kernel*", M7:M140)  + SUMIF(J7:J140, "*mla*", M7:M140) </f>
        <v>3393.925051</v>
      </c>
      <c r="N149" s="40" t="str">
        <f>round(M149/M143,2)</f>
        <v>#DIV/0!</v>
      </c>
      <c r="O149" s="40"/>
      <c r="P149" s="3"/>
      <c r="Q149" s="38"/>
      <c r="R149" s="25" t="s">
        <v>16</v>
      </c>
      <c r="S149" s="39">
        <f>SUMIF(P7:P140, "*get_paged_kv_in*", S7:S140) + SUMIF(P7:P140, "*_fwd_kernel*", S7:S140)  + SUMIF(P7:P140, "*mla*", S7:S140) </f>
        <v>3838.642896</v>
      </c>
      <c r="T149" s="40" t="str">
        <f>round(S149/S143,2)</f>
        <v>#DIV/0!</v>
      </c>
      <c r="V149" s="3"/>
      <c r="W149" s="38"/>
      <c r="X149" s="25" t="s">
        <v>16</v>
      </c>
      <c r="Y149" s="39">
        <f>SUMIF(V7:V140, "*get_paged_kv_in*", Y7:Y140) + SUMIF(V7:V140, "*_fwd_kernel*", Y7:Y140)  + SUMIF(V7:V140, "*mla*", Y7:Y140) </f>
        <v>3796.922013</v>
      </c>
      <c r="Z149" s="40" t="str">
        <f>round(Y149/Y143,2)</f>
        <v>#DIV/0!</v>
      </c>
      <c r="AA149" s="40"/>
      <c r="AB149" s="4"/>
      <c r="AC149" s="4"/>
      <c r="AD149" s="3"/>
      <c r="AE149" s="38"/>
      <c r="AF149" s="25" t="s">
        <v>16</v>
      </c>
      <c r="AG149" s="39">
        <f>SUMIF(AD7:AD140, "*get_paged_kv_in*", AG7:AG140) + SUMIF(AD7:AD140, "*_fwd_kernel*", AG7:AG140)  + SUMIF(AD7:AD140, "*mla*", AG7:AG140) </f>
        <v>3414.648617</v>
      </c>
      <c r="AH149" s="40" t="str">
        <f>round(AG149/AG143,2)</f>
        <v>#DIV/0!</v>
      </c>
      <c r="AI149" s="40"/>
      <c r="AJ149" s="3"/>
      <c r="AK149" s="38"/>
      <c r="AL149" s="25" t="s">
        <v>16</v>
      </c>
      <c r="AM149" s="39">
        <f>SUMIF(AJ7:AJ140, "*get_paged_kv_in*", AM7:AM140) + SUMIF(AJ7:AJ140, "*_fwd_kernel*", AM7:AM140)  + SUMIF(AJ7:AJ140, "*mla*", AM7:AM140) </f>
        <v>2215.091094</v>
      </c>
      <c r="AN149" s="40" t="str">
        <f>round(AM149/AM143,2)</f>
        <v>#DIV/0!</v>
      </c>
      <c r="AP149" s="3"/>
      <c r="AQ149" s="38"/>
      <c r="AR149" s="25" t="s">
        <v>16</v>
      </c>
      <c r="AS149" s="39">
        <f>SUMIF(AP7:AP140, "*get_paged_kv_in*", AS7:AS140) + SUMIF(AP7:AP140, "*_fwd_kernel*", AS7:AS140)  + SUMIF(AP7:AP140, "*mla*", AS7:AS140) </f>
        <v>2189.320222</v>
      </c>
      <c r="AT149" s="40" t="str">
        <f>round(AS149/AS143,2)</f>
        <v>#DIV/0!</v>
      </c>
      <c r="AU149" s="40"/>
      <c r="AV149" s="3"/>
      <c r="AW149" s="38"/>
      <c r="AX149" s="25" t="s">
        <v>16</v>
      </c>
      <c r="AY149" s="39">
        <f>SUMIF(AV7:AV140, "*get_paged_kv_in*", AY7:AY140) + SUMIF(AV7:AV140, "*_fwd_kernel*", AY7:AY140)  + SUMIF(AV7:AV140, "*mla*", AY7:AY140) </f>
        <v>3786.875575</v>
      </c>
      <c r="AZ149" s="40" t="str">
        <f>round(AY149/AY143,2)</f>
        <v>#DIV/0!</v>
      </c>
    </row>
    <row r="150">
      <c r="B150" s="3"/>
      <c r="C150" s="38"/>
      <c r="D150" s="25" t="s">
        <v>21</v>
      </c>
      <c r="E150" s="39">
        <f>SUMIF(B7:B140, "*fp8_paged_mqa_logits*", E7:E140) + SUMIF(B7:B140, "*topKPerRowDecode*", E7:E140) + SUMIF(B7:B140, "*FP8MQALogits*", E7:E140)</f>
        <v>2462.955618</v>
      </c>
      <c r="F150" s="40" t="str">
        <f>round(E150/E143,2)</f>
        <v>#DIV/0!</v>
      </c>
      <c r="G150" s="40"/>
      <c r="H150" s="3"/>
      <c r="I150" s="3"/>
      <c r="J150" s="3"/>
      <c r="K150" s="38"/>
      <c r="L150" s="25" t="s">
        <v>21</v>
      </c>
      <c r="M150" s="39">
        <f>SUMIF(J7:J140, "*fp8_paged_mqa_logits*", M7:M140) + SUMIF(J7:J140, "*topKPerRowDecode*", M7:M140) + SUMIF(J7:J140, "*FP8MQALogits*", M7:M140)</f>
        <v>2465.397985</v>
      </c>
      <c r="N150" s="40" t="str">
        <f>round(M150/M143,2)</f>
        <v>#DIV/0!</v>
      </c>
      <c r="O150" s="40"/>
      <c r="P150" s="3"/>
      <c r="Q150" s="38"/>
      <c r="R150" s="25" t="s">
        <v>21</v>
      </c>
      <c r="S150" s="39">
        <f>SUMIF(P7:P140, "*fp8_paged_mqa_logits*", S7:S140) + SUMIF(P7:P140, "*topKPerRowDecode*", S7:S140) + SUMIF(P7:P140, "*FP8MQALogits*", S7:S140)</f>
        <v>1044.612103</v>
      </c>
      <c r="T150" s="40" t="str">
        <f>round(S150/S143,2)</f>
        <v>#DIV/0!</v>
      </c>
      <c r="V150" s="3"/>
      <c r="W150" s="38"/>
      <c r="X150" s="25" t="s">
        <v>21</v>
      </c>
      <c r="Y150" s="39">
        <f>SUMIF(V7:V140, "*fp8_paged_mqa_logits*", Y7:Y140) + SUMIF(V7:V140, "*topKPerRowDecode*", Y7:Y140) + SUMIF(V7:V140, "*FP8MQALogits*", Y7:Y140)</f>
        <v>1047.58091</v>
      </c>
      <c r="Z150" s="40" t="str">
        <f>round(Y150/Y143,2)</f>
        <v>#DIV/0!</v>
      </c>
      <c r="AA150" s="40"/>
      <c r="AB150" s="3"/>
      <c r="AC150" s="3"/>
      <c r="AD150" s="3"/>
      <c r="AE150" s="38"/>
      <c r="AF150" s="25" t="s">
        <v>21</v>
      </c>
      <c r="AG150" s="39">
        <f>SUMIF(AD7:AD140, "*fp8_paged_mqa_logits*", AG7:AG140) + SUMIF(AD7:AD140, "*topKPerRowDecode*", AG7:AG140) + SUMIF(AD7:AD140, "*FP8MQALogits*", AG7:AG140)</f>
        <v>2486.357045</v>
      </c>
      <c r="AH150" s="40" t="str">
        <f>round(AG150/AG143,2)</f>
        <v>#DIV/0!</v>
      </c>
      <c r="AI150" s="40"/>
      <c r="AJ150" s="3"/>
      <c r="AK150" s="38"/>
      <c r="AL150" s="25" t="s">
        <v>21</v>
      </c>
      <c r="AM150" s="39">
        <f>SUMIF(AJ7:AJ140, "*fp8_paged_mqa_logits*", AM7:AM140) + SUMIF(AJ7:AJ140, "*topKPerRowDecode*", AM7:AM140) + SUMIF(AJ7:AJ140, "*FP8MQALogits*", AM7:AM140)</f>
        <v>2465.369052</v>
      </c>
      <c r="AN150" s="40" t="str">
        <f>round(AM150/AM143,2)</f>
        <v>#DIV/0!</v>
      </c>
      <c r="AP150" s="3"/>
      <c r="AQ150" s="38"/>
      <c r="AR150" s="25" t="s">
        <v>21</v>
      </c>
      <c r="AS150" s="39">
        <f>SUMIF(AP7:AP140, "*fp8_paged_mqa_logits*", AS7:AS140) + SUMIF(AP7:AP140, "*topKPerRowDecode*", AS7:AS140) + SUMIF(AP7:AP140, "*FP8MQALogits*", AS7:AS140)</f>
        <v>2460.279762</v>
      </c>
      <c r="AT150" s="40" t="str">
        <f>round(AS150/AS143,2)</f>
        <v>#DIV/0!</v>
      </c>
      <c r="AU150" s="40"/>
      <c r="AV150" s="3"/>
      <c r="AW150" s="38"/>
      <c r="AX150" s="25" t="s">
        <v>21</v>
      </c>
      <c r="AY150" s="39">
        <f>SUMIF(AV7:AV140, "*fp8_paged_mqa_logits*", AY7:AY140) + SUMIF(AV7:AV140, "*topKPerRowDecode*", AY7:AY140) + SUMIF(AV7:AV140, "*FP8MQALogits*", AY7:AY140)</f>
        <v>2466.568143</v>
      </c>
      <c r="AZ150" s="40" t="str">
        <f>round(AY150/AY143,2)</f>
        <v>#DIV/0!</v>
      </c>
    </row>
    <row r="151">
      <c r="B151" s="3"/>
      <c r="C151" s="38"/>
      <c r="D151" s="25" t="s">
        <v>24</v>
      </c>
      <c r="E151" s="39">
        <f>SUMIF(B7:B140, "Cijk_Alik_Bljk_*", E7:E140) + SUMIF(B7:B140, "*_gemm*", E7:E140) + SUMIF(B7:B140, "*dynamic_mxfp4*", E7:E140) + SUMIF(B7:B140, "*hgemm*", E7:E140) + SUMIF(B7:B140, "*bf16gemm*", E7:E140)
</f>
        <v>13675.08808</v>
      </c>
      <c r="F151" s="40" t="str">
        <f>round(E151/E143,2)</f>
        <v>#DIV/0!</v>
      </c>
      <c r="G151" s="40"/>
      <c r="H151" s="3"/>
      <c r="I151" s="3"/>
      <c r="J151" s="3"/>
      <c r="K151" s="38"/>
      <c r="L151" s="25" t="s">
        <v>24</v>
      </c>
      <c r="M151" s="39">
        <f>SUMIF(J7:J140, "Cijk_Alik_Bljk_*", M7:M140) + SUMIF(J7:J140, "*_gemm*", M7:M140) + SUMIF(J7:J140, "*dynamic_mxfp4*", M7:M140) + SUMIF(J7:J140, "*hgemm*", M7:M140) + SUMIF(J7:J140, "*bf16gemm*", M7:M140)
</f>
        <v>13219.98125</v>
      </c>
      <c r="N151" s="40" t="str">
        <f>round(M151/M143,2)</f>
        <v>#DIV/0!</v>
      </c>
      <c r="O151" s="40"/>
      <c r="P151" s="3"/>
      <c r="Q151" s="38"/>
      <c r="R151" s="25" t="s">
        <v>24</v>
      </c>
      <c r="S151" s="39">
        <f>SUMIF(P7:P140, "Cijk_Alik_Bljk_*", S7:S140) + SUMIF(P7:P140, "*_gemm*", S7:S140) + SUMIF(P7:P140, "*dynamic_mxfp4*", S7:S140) + SUMIF(P7:P140, "*hgemm*", S7:S140) + SUMIF(P7:P140, "*bf16gemm*", S7:S140)
</f>
        <v>13821.37737</v>
      </c>
      <c r="T151" s="40" t="str">
        <f>round(S151/S143,2)</f>
        <v>#DIV/0!</v>
      </c>
      <c r="V151" s="3"/>
      <c r="W151" s="38"/>
      <c r="X151" s="25" t="s">
        <v>24</v>
      </c>
      <c r="Y151" s="39">
        <f>SUMIF(V7:V140, "Cijk_Alik_Bljk_*", Y7:Y140) + SUMIF(V7:V140, "*_gemm*", Y7:Y140) + SUMIF(V7:V140, "*dynamic_mxfp4*", Y7:Y140) + SUMIF(V7:V140, "*hgemm*", Y7:Y140) + SUMIF(V7:V140, "*bf16gemm*", Y7:Y140)
</f>
        <v>13483.85136</v>
      </c>
      <c r="Z151" s="40" t="str">
        <f>round(Y151/Y143,2)</f>
        <v>#DIV/0!</v>
      </c>
      <c r="AA151" s="40"/>
      <c r="AB151" s="3"/>
      <c r="AC151" s="3"/>
      <c r="AD151" s="3"/>
      <c r="AE151" s="38"/>
      <c r="AF151" s="25" t="s">
        <v>24</v>
      </c>
      <c r="AG151" s="39">
        <f>SUMIF(AD7:AD140, "Cijk_Alik_Bljk_*", AG7:AG140) + SUMIF(AD7:AD140, "*_gemm*", AG7:AG140) + SUMIF(AD7:AD140, "*dynamic_mxfp4*", AG7:AG140) + SUMIF(AD7:AD140, "*hgemm*", AG7:AG140) + SUMIF(AD7:AD140, "*bf16gemm*", AG7:AG140)
</f>
        <v>13212.48905</v>
      </c>
      <c r="AH151" s="40" t="str">
        <f>round(AG151/AG143,2)</f>
        <v>#DIV/0!</v>
      </c>
      <c r="AI151" s="40"/>
      <c r="AJ151" s="3"/>
      <c r="AK151" s="38"/>
      <c r="AL151" s="25" t="s">
        <v>24</v>
      </c>
      <c r="AM151" s="39">
        <f>SUMIF(AJ7:AJ140, "Cijk_Alik_Bljk_*", AM7:AM140) + SUMIF(AJ7:AJ140, "*_gemm*", AM7:AM140) + SUMIF(AJ7:AJ140, "*dynamic_mxfp4*", AM7:AM140) + SUMIF(AJ7:AJ140, "*hgemm*", AM7:AM140) + SUMIF(AJ7:AJ140, "*bf16gemm*", AM7:AM140)
</f>
        <v>12808.65094</v>
      </c>
      <c r="AN151" s="40" t="str">
        <f>round(AM151/AM143,2)</f>
        <v>#DIV/0!</v>
      </c>
      <c r="AP151" s="3"/>
      <c r="AQ151" s="38"/>
      <c r="AR151" s="25" t="s">
        <v>24</v>
      </c>
      <c r="AS151" s="39">
        <f>SUMIF(AP7:AP140, "Cijk_Alik_Bljk_*", AS7:AS140) + SUMIF(AP7:AP140, "*_gemm*", AS7:AS140) + SUMIF(AP7:AP140, "*dynamic_mxfp4*", AS7:AS140) + SUMIF(AP7:AP140, "*hgemm*", AS7:AS140) + SUMIF(AP7:AP140, "*bf16gemm*", AS7:AS140)
</f>
        <v>12686.19633</v>
      </c>
      <c r="AT151" s="40" t="str">
        <f>round(AS151/AS143,2)</f>
        <v>#DIV/0!</v>
      </c>
      <c r="AU151" s="40"/>
      <c r="AV151" s="3"/>
      <c r="AW151" s="38"/>
      <c r="AX151" s="25" t="s">
        <v>24</v>
      </c>
      <c r="AY151" s="39">
        <f>SUMIF(AV7:AV140, "Cijk_Alik_Bljk_*", AY7:AY140) + SUMIF(AV7:AV140, "*_gemm*", AY7:AY140) + SUMIF(AV7:AV140, "*dynamic_mxfp4*", AY7:AY140) + SUMIF(AV7:AV140, "*hgemm*", AY7:AY140) + SUMIF(AV7:AV140, "*bf16gemm*", AY7:AY140)
</f>
        <v>13826.52829</v>
      </c>
      <c r="AZ151" s="40" t="str">
        <f>round(AY151/AY143,2)</f>
        <v>#DIV/0!</v>
      </c>
    </row>
    <row r="152">
      <c r="B152" s="3"/>
      <c r="C152" s="44"/>
      <c r="D152" s="25" t="s">
        <v>163</v>
      </c>
      <c r="E152" s="45">
        <f>E142-E151-E149-E148-E147-E150</f>
        <v>3350.015979</v>
      </c>
      <c r="F152" s="40" t="str">
        <f>round(E152/E143,2)</f>
        <v>#DIV/0!</v>
      </c>
      <c r="G152" s="40"/>
      <c r="H152" s="3"/>
      <c r="I152" s="3"/>
      <c r="J152" s="3"/>
      <c r="K152" s="44"/>
      <c r="L152" s="25" t="s">
        <v>163</v>
      </c>
      <c r="M152" s="45">
        <f>M142-M151-M149-M148-M147-M150</f>
        <v>3361.719224</v>
      </c>
      <c r="N152" s="40" t="str">
        <f>round(M152/M143,2)</f>
        <v>#DIV/0!</v>
      </c>
      <c r="O152" s="40"/>
      <c r="P152" s="3"/>
      <c r="Q152" s="44"/>
      <c r="R152" s="25" t="s">
        <v>163</v>
      </c>
      <c r="S152" s="45">
        <f>S142-S151-S149-S148-S147-S150</f>
        <v>4108.347481</v>
      </c>
      <c r="T152" s="40" t="str">
        <f>round(S152/S143,2)</f>
        <v>#DIV/0!</v>
      </c>
      <c r="V152" s="3"/>
      <c r="W152" s="44"/>
      <c r="X152" s="25" t="s">
        <v>163</v>
      </c>
      <c r="Y152" s="45">
        <f>Y142-Y151-Y149-Y148-Y147-Y150</f>
        <v>4085.401104</v>
      </c>
      <c r="Z152" s="40" t="str">
        <f>round(Y152/Y143,2)</f>
        <v>#DIV/0!</v>
      </c>
      <c r="AA152" s="40"/>
      <c r="AB152" s="3"/>
      <c r="AC152" s="3"/>
      <c r="AD152" s="3"/>
      <c r="AE152" s="44"/>
      <c r="AF152" s="25" t="s">
        <v>163</v>
      </c>
      <c r="AG152" s="45">
        <f>AG142-AG151-AG149-AG148-AG147-AG150</f>
        <v>3646.392959</v>
      </c>
      <c r="AH152" s="40" t="str">
        <f>round(AG152/AG143,2)</f>
        <v>#DIV/0!</v>
      </c>
      <c r="AI152" s="40"/>
      <c r="AJ152" s="3"/>
      <c r="AK152" s="44"/>
      <c r="AL152" s="25" t="s">
        <v>163</v>
      </c>
      <c r="AM152" s="45">
        <f>AM142-AM151-AM149-AM148-AM147-AM150</f>
        <v>2830.117941</v>
      </c>
      <c r="AN152" s="40" t="str">
        <f>round(AM152/AM143,2)</f>
        <v>#DIV/0!</v>
      </c>
      <c r="AP152" s="3"/>
      <c r="AQ152" s="44"/>
      <c r="AR152" s="25" t="s">
        <v>163</v>
      </c>
      <c r="AS152" s="45">
        <f>AS142-AS151-AS149-AS148-AS147-AS150</f>
        <v>2792.194639</v>
      </c>
      <c r="AT152" s="40" t="str">
        <f>round(AS152/AS143,2)</f>
        <v>#DIV/0!</v>
      </c>
      <c r="AU152" s="40"/>
      <c r="AV152" s="3"/>
      <c r="AW152" s="44"/>
      <c r="AX152" s="25" t="s">
        <v>163</v>
      </c>
      <c r="AY152" s="45">
        <f>AY142-AY151-AY149-AY148-AY147-AY150</f>
        <v>3585.850258</v>
      </c>
      <c r="AZ152" s="40" t="str">
        <f>round(AY152/AY143,2)</f>
        <v>#DIV/0!</v>
      </c>
    </row>
    <row r="15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>
      <c r="B159" s="3"/>
      <c r="C159" s="3"/>
      <c r="D159" s="3"/>
      <c r="E159" s="3"/>
      <c r="F159" s="3"/>
      <c r="G159" s="46"/>
      <c r="H159" s="3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V159" s="3"/>
      <c r="W159" s="3"/>
      <c r="X159" s="3"/>
      <c r="Y159" s="3"/>
      <c r="Z159" s="3"/>
      <c r="AA159" s="46"/>
      <c r="AB159" s="3"/>
      <c r="AC159" s="4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2">
      <c r="B162" s="47"/>
      <c r="C162" s="47"/>
      <c r="D162" s="47"/>
      <c r="E162" s="47"/>
      <c r="F162" s="47"/>
      <c r="J162" s="47"/>
      <c r="K162" s="47"/>
      <c r="L162" s="47"/>
      <c r="M162" s="47"/>
      <c r="N162" s="47"/>
      <c r="P162" s="47"/>
      <c r="Q162" s="47"/>
      <c r="R162" s="47"/>
      <c r="S162" s="47"/>
      <c r="T162" s="47"/>
      <c r="V162" s="47"/>
      <c r="W162" s="47"/>
      <c r="X162" s="47"/>
      <c r="Y162" s="47"/>
      <c r="Z162" s="47"/>
      <c r="AD162" s="47"/>
      <c r="AE162" s="47"/>
      <c r="AF162" s="47"/>
      <c r="AG162" s="47"/>
      <c r="AH162" s="47"/>
      <c r="AJ162" s="47"/>
      <c r="AK162" s="47"/>
      <c r="AL162" s="47"/>
      <c r="AM162" s="47"/>
      <c r="AN162" s="47"/>
      <c r="AP162" s="47"/>
      <c r="AQ162" s="47"/>
      <c r="AR162" s="47"/>
      <c r="AS162" s="47"/>
      <c r="AT162" s="47"/>
      <c r="AV162" s="47"/>
      <c r="AW162" s="47"/>
      <c r="AX162" s="47"/>
      <c r="AY162" s="47"/>
      <c r="AZ162" s="47"/>
    </row>
    <row r="163">
      <c r="C163" s="48"/>
      <c r="D163" s="49"/>
      <c r="E163" s="49"/>
      <c r="F163" s="49"/>
      <c r="K163" s="48"/>
      <c r="L163" s="49"/>
      <c r="M163" s="49"/>
      <c r="N163" s="49"/>
      <c r="Q163" s="48"/>
      <c r="R163" s="49"/>
      <c r="S163" s="49"/>
      <c r="T163" s="49"/>
      <c r="W163" s="48"/>
      <c r="X163" s="49"/>
      <c r="Y163" s="49"/>
      <c r="Z163" s="49"/>
      <c r="AE163" s="48"/>
      <c r="AF163" s="49"/>
      <c r="AG163" s="49"/>
      <c r="AH163" s="49"/>
      <c r="AK163" s="48"/>
      <c r="AL163" s="49"/>
      <c r="AM163" s="49"/>
      <c r="AN163" s="49"/>
      <c r="AQ163" s="48"/>
      <c r="AR163" s="49"/>
      <c r="AS163" s="49"/>
      <c r="AT163" s="49"/>
      <c r="AW163" s="48"/>
      <c r="AX163" s="49"/>
      <c r="AY163" s="49"/>
      <c r="AZ163" s="49"/>
    </row>
    <row r="164">
      <c r="D164" s="50"/>
      <c r="F164" s="51"/>
      <c r="L164" s="49"/>
      <c r="M164" s="49"/>
      <c r="N164" s="51"/>
      <c r="R164" s="49"/>
      <c r="S164" s="49"/>
      <c r="T164" s="51"/>
      <c r="X164" s="50"/>
      <c r="Z164" s="51"/>
      <c r="AF164" s="49"/>
      <c r="AG164" s="49"/>
      <c r="AH164" s="51"/>
      <c r="AL164" s="49"/>
      <c r="AM164" s="49"/>
      <c r="AN164" s="51"/>
      <c r="AR164" s="49"/>
      <c r="AS164" s="49"/>
      <c r="AT164" s="51"/>
      <c r="AX164" s="49"/>
      <c r="AY164" s="49"/>
      <c r="AZ164" s="51"/>
    </row>
    <row r="165">
      <c r="B165" s="47"/>
      <c r="C165" s="47"/>
      <c r="D165" s="50"/>
      <c r="E165" s="47"/>
      <c r="F165" s="51"/>
      <c r="J165" s="47"/>
      <c r="K165" s="47"/>
      <c r="L165" s="49"/>
      <c r="M165" s="50"/>
      <c r="N165" s="51"/>
      <c r="P165" s="47"/>
      <c r="Q165" s="47"/>
      <c r="R165" s="50"/>
      <c r="S165" s="50"/>
      <c r="T165" s="51"/>
      <c r="V165" s="47"/>
      <c r="W165" s="47"/>
      <c r="X165" s="50"/>
      <c r="Y165" s="47"/>
      <c r="Z165" s="51"/>
      <c r="AD165" s="47"/>
      <c r="AE165" s="47"/>
      <c r="AF165" s="49"/>
      <c r="AG165" s="50"/>
      <c r="AH165" s="51"/>
      <c r="AJ165" s="47"/>
      <c r="AK165" s="47"/>
      <c r="AL165" s="50"/>
      <c r="AM165" s="50"/>
      <c r="AN165" s="51"/>
      <c r="AP165" s="47"/>
      <c r="AQ165" s="47"/>
      <c r="AR165" s="49"/>
      <c r="AS165" s="50"/>
      <c r="AT165" s="51"/>
      <c r="AV165" s="47"/>
      <c r="AW165" s="47"/>
      <c r="AX165" s="50"/>
      <c r="AY165" s="50"/>
      <c r="AZ165" s="51"/>
    </row>
    <row r="166">
      <c r="B166" s="47"/>
      <c r="C166" s="47"/>
      <c r="D166" s="50"/>
      <c r="E166" s="47"/>
      <c r="F166" s="51"/>
      <c r="J166" s="47"/>
      <c r="K166" s="47"/>
      <c r="L166" s="49"/>
      <c r="M166" s="50"/>
      <c r="N166" s="51"/>
      <c r="P166" s="47"/>
      <c r="Q166" s="47"/>
      <c r="R166" s="50"/>
      <c r="S166" s="50"/>
      <c r="T166" s="51"/>
      <c r="V166" s="47"/>
      <c r="W166" s="47"/>
      <c r="X166" s="50"/>
      <c r="Y166" s="47"/>
      <c r="Z166" s="51"/>
      <c r="AD166" s="47"/>
      <c r="AE166" s="47"/>
      <c r="AF166" s="49"/>
      <c r="AG166" s="50"/>
      <c r="AH166" s="51"/>
      <c r="AJ166" s="47"/>
      <c r="AK166" s="47"/>
      <c r="AL166" s="50"/>
      <c r="AM166" s="50"/>
      <c r="AN166" s="51"/>
      <c r="AP166" s="47"/>
      <c r="AQ166" s="47"/>
      <c r="AR166" s="49"/>
      <c r="AS166" s="50"/>
      <c r="AT166" s="51"/>
      <c r="AV166" s="47"/>
      <c r="AW166" s="47"/>
      <c r="AX166" s="50"/>
      <c r="AY166" s="50"/>
      <c r="AZ166" s="51"/>
    </row>
    <row r="167">
      <c r="B167" s="47"/>
      <c r="C167" s="47"/>
      <c r="D167" s="50"/>
      <c r="E167" s="47"/>
      <c r="F167" s="51"/>
      <c r="J167" s="47"/>
      <c r="K167" s="47"/>
      <c r="L167" s="49"/>
      <c r="M167" s="50"/>
      <c r="N167" s="51"/>
      <c r="P167" s="47"/>
      <c r="Q167" s="47"/>
      <c r="R167" s="50"/>
      <c r="S167" s="50"/>
      <c r="T167" s="51"/>
      <c r="V167" s="47"/>
      <c r="W167" s="47"/>
      <c r="X167" s="50"/>
      <c r="Y167" s="47"/>
      <c r="Z167" s="51"/>
      <c r="AD167" s="47"/>
      <c r="AE167" s="47"/>
      <c r="AF167" s="49"/>
      <c r="AG167" s="50"/>
      <c r="AH167" s="51"/>
      <c r="AJ167" s="47"/>
      <c r="AK167" s="47"/>
      <c r="AL167" s="50"/>
      <c r="AM167" s="50"/>
      <c r="AN167" s="51"/>
      <c r="AP167" s="47"/>
      <c r="AQ167" s="47"/>
      <c r="AR167" s="49"/>
      <c r="AS167" s="50"/>
      <c r="AT167" s="51"/>
      <c r="AV167" s="47"/>
      <c r="AW167" s="47"/>
      <c r="AX167" s="50"/>
      <c r="AY167" s="50"/>
      <c r="AZ167" s="51"/>
    </row>
    <row r="168">
      <c r="B168" s="47"/>
      <c r="C168" s="47"/>
      <c r="D168" s="50"/>
      <c r="E168" s="47"/>
      <c r="F168" s="51"/>
      <c r="J168" s="47"/>
      <c r="K168" s="47"/>
      <c r="L168" s="49"/>
      <c r="M168" s="50"/>
      <c r="N168" s="51"/>
      <c r="P168" s="47"/>
      <c r="Q168" s="47"/>
      <c r="R168" s="50"/>
      <c r="S168" s="50"/>
      <c r="T168" s="51"/>
      <c r="V168" s="47"/>
      <c r="W168" s="47"/>
      <c r="X168" s="50"/>
      <c r="Y168" s="47"/>
      <c r="Z168" s="51"/>
      <c r="AD168" s="47"/>
      <c r="AE168" s="47"/>
      <c r="AF168" s="49"/>
      <c r="AG168" s="50"/>
      <c r="AH168" s="51"/>
      <c r="AJ168" s="47"/>
      <c r="AK168" s="47"/>
      <c r="AL168" s="50"/>
      <c r="AM168" s="50"/>
      <c r="AN168" s="51"/>
      <c r="AP168" s="47"/>
      <c r="AQ168" s="47"/>
      <c r="AR168" s="49"/>
      <c r="AS168" s="50"/>
      <c r="AT168" s="51"/>
      <c r="AV168" s="47"/>
      <c r="AW168" s="47"/>
      <c r="AX168" s="50"/>
      <c r="AY168" s="50"/>
      <c r="AZ168" s="51"/>
    </row>
    <row r="169">
      <c r="B169" s="47"/>
      <c r="C169" s="47"/>
      <c r="D169" s="50"/>
      <c r="E169" s="47"/>
      <c r="F169" s="51"/>
      <c r="J169" s="47"/>
      <c r="K169" s="47"/>
      <c r="L169" s="49"/>
      <c r="M169" s="50"/>
      <c r="N169" s="51"/>
      <c r="P169" s="47"/>
      <c r="Q169" s="47"/>
      <c r="R169" s="50"/>
      <c r="S169" s="50"/>
      <c r="T169" s="51"/>
      <c r="V169" s="47"/>
      <c r="W169" s="47"/>
      <c r="X169" s="50"/>
      <c r="Y169" s="47"/>
      <c r="Z169" s="51"/>
      <c r="AD169" s="47"/>
      <c r="AE169" s="47"/>
      <c r="AF169" s="49"/>
      <c r="AG169" s="50"/>
      <c r="AH169" s="51"/>
      <c r="AJ169" s="47"/>
      <c r="AK169" s="47"/>
      <c r="AL169" s="50"/>
      <c r="AM169" s="50"/>
      <c r="AN169" s="51"/>
      <c r="AP169" s="47"/>
      <c r="AQ169" s="47"/>
      <c r="AR169" s="49"/>
      <c r="AS169" s="50"/>
      <c r="AT169" s="51"/>
      <c r="AV169" s="47"/>
      <c r="AW169" s="47"/>
      <c r="AX169" s="50"/>
      <c r="AY169" s="50"/>
      <c r="AZ169" s="51"/>
    </row>
    <row r="170">
      <c r="B170" s="47"/>
      <c r="C170" s="47"/>
      <c r="D170" s="50"/>
      <c r="E170" s="47"/>
      <c r="F170" s="51"/>
      <c r="J170" s="47"/>
      <c r="K170" s="47"/>
      <c r="L170" s="49"/>
      <c r="M170" s="50"/>
      <c r="N170" s="51"/>
      <c r="P170" s="47"/>
      <c r="Q170" s="47"/>
      <c r="R170" s="50"/>
      <c r="S170" s="50"/>
      <c r="T170" s="51"/>
      <c r="V170" s="47"/>
      <c r="W170" s="47"/>
      <c r="X170" s="50"/>
      <c r="Y170" s="47"/>
      <c r="Z170" s="51"/>
      <c r="AD170" s="47"/>
      <c r="AE170" s="47"/>
      <c r="AF170" s="49"/>
      <c r="AG170" s="50"/>
      <c r="AH170" s="51"/>
      <c r="AJ170" s="47"/>
      <c r="AK170" s="47"/>
      <c r="AL170" s="50"/>
      <c r="AM170" s="50"/>
      <c r="AN170" s="51"/>
      <c r="AP170" s="47"/>
      <c r="AQ170" s="47"/>
      <c r="AR170" s="49"/>
      <c r="AS170" s="50"/>
      <c r="AT170" s="51"/>
      <c r="AV170" s="47"/>
      <c r="AW170" s="47"/>
      <c r="AX170" s="50"/>
      <c r="AY170" s="50"/>
      <c r="AZ170" s="51"/>
    </row>
    <row r="171">
      <c r="B171" s="47"/>
      <c r="C171" s="47"/>
      <c r="D171" s="50"/>
      <c r="E171" s="47"/>
      <c r="F171" s="51"/>
      <c r="J171" s="47"/>
      <c r="K171" s="47"/>
      <c r="L171" s="49"/>
      <c r="M171" s="50"/>
      <c r="N171" s="51"/>
      <c r="P171" s="47"/>
      <c r="Q171" s="47"/>
      <c r="R171" s="50"/>
      <c r="S171" s="50"/>
      <c r="T171" s="51"/>
      <c r="V171" s="47"/>
      <c r="W171" s="47"/>
      <c r="X171" s="50"/>
      <c r="Y171" s="47"/>
      <c r="Z171" s="51"/>
      <c r="AD171" s="47"/>
      <c r="AE171" s="47"/>
      <c r="AF171" s="49"/>
      <c r="AG171" s="50"/>
      <c r="AH171" s="51"/>
      <c r="AJ171" s="47"/>
      <c r="AK171" s="47"/>
      <c r="AL171" s="50"/>
      <c r="AM171" s="50"/>
      <c r="AN171" s="51"/>
      <c r="AP171" s="47"/>
      <c r="AQ171" s="47"/>
      <c r="AR171" s="49"/>
      <c r="AS171" s="50"/>
      <c r="AT171" s="51"/>
      <c r="AV171" s="47"/>
      <c r="AW171" s="47"/>
      <c r="AX171" s="50"/>
      <c r="AY171" s="50"/>
      <c r="AZ171" s="51"/>
    </row>
    <row r="172">
      <c r="B172" s="47"/>
      <c r="C172" s="47"/>
      <c r="D172" s="50"/>
      <c r="E172" s="47"/>
      <c r="F172" s="51"/>
      <c r="J172" s="47"/>
      <c r="K172" s="47"/>
      <c r="L172" s="49"/>
      <c r="M172" s="50"/>
      <c r="N172" s="51"/>
      <c r="P172" s="47"/>
      <c r="Q172" s="47"/>
      <c r="R172" s="50"/>
      <c r="S172" s="50"/>
      <c r="T172" s="51"/>
      <c r="V172" s="47"/>
      <c r="W172" s="47"/>
      <c r="X172" s="50"/>
      <c r="Y172" s="47"/>
      <c r="Z172" s="51"/>
      <c r="AD172" s="47"/>
      <c r="AE172" s="47"/>
      <c r="AF172" s="49"/>
      <c r="AG172" s="50"/>
      <c r="AH172" s="51"/>
      <c r="AJ172" s="47"/>
      <c r="AK172" s="47"/>
      <c r="AL172" s="50"/>
      <c r="AM172" s="50"/>
      <c r="AN172" s="51"/>
      <c r="AP172" s="47"/>
      <c r="AQ172" s="47"/>
      <c r="AR172" s="49"/>
      <c r="AS172" s="50"/>
      <c r="AT172" s="51"/>
      <c r="AV172" s="47"/>
      <c r="AW172" s="47"/>
      <c r="AX172" s="50"/>
      <c r="AY172" s="50"/>
      <c r="AZ172" s="51"/>
    </row>
    <row r="173">
      <c r="B173" s="47"/>
      <c r="C173" s="47"/>
      <c r="D173" s="50"/>
      <c r="E173" s="47"/>
      <c r="F173" s="51"/>
      <c r="J173" s="47"/>
      <c r="K173" s="47"/>
      <c r="L173" s="49"/>
      <c r="M173" s="50"/>
      <c r="N173" s="51"/>
      <c r="P173" s="47"/>
      <c r="Q173" s="47"/>
      <c r="R173" s="50"/>
      <c r="S173" s="50"/>
      <c r="T173" s="51"/>
      <c r="V173" s="47"/>
      <c r="W173" s="47"/>
      <c r="X173" s="50"/>
      <c r="Y173" s="47"/>
      <c r="Z173" s="51"/>
      <c r="AD173" s="47"/>
      <c r="AE173" s="47"/>
      <c r="AF173" s="49"/>
      <c r="AG173" s="50"/>
      <c r="AH173" s="51"/>
      <c r="AJ173" s="47"/>
      <c r="AK173" s="47"/>
      <c r="AL173" s="50"/>
      <c r="AM173" s="50"/>
      <c r="AN173" s="51"/>
      <c r="AP173" s="47"/>
      <c r="AQ173" s="47"/>
      <c r="AR173" s="49"/>
      <c r="AS173" s="50"/>
      <c r="AT173" s="51"/>
      <c r="AV173" s="47"/>
      <c r="AW173" s="47"/>
      <c r="AX173" s="50"/>
      <c r="AY173" s="50"/>
      <c r="AZ173" s="51"/>
    </row>
    <row r="174">
      <c r="B174" s="47"/>
      <c r="C174" s="47"/>
      <c r="D174" s="50"/>
      <c r="E174" s="47"/>
      <c r="F174" s="51"/>
      <c r="J174" s="47"/>
      <c r="K174" s="47"/>
      <c r="L174" s="49"/>
      <c r="M174" s="50"/>
      <c r="N174" s="51"/>
      <c r="P174" s="47"/>
      <c r="Q174" s="47"/>
      <c r="R174" s="50"/>
      <c r="S174" s="50"/>
      <c r="T174" s="51"/>
      <c r="V174" s="47"/>
      <c r="W174" s="47"/>
      <c r="X174" s="50"/>
      <c r="Y174" s="47"/>
      <c r="Z174" s="51"/>
      <c r="AD174" s="47"/>
      <c r="AE174" s="47"/>
      <c r="AF174" s="49"/>
      <c r="AG174" s="50"/>
      <c r="AH174" s="51"/>
      <c r="AJ174" s="47"/>
      <c r="AK174" s="47"/>
      <c r="AL174" s="50"/>
      <c r="AM174" s="50"/>
      <c r="AN174" s="51"/>
      <c r="AP174" s="47"/>
      <c r="AQ174" s="47"/>
      <c r="AR174" s="49"/>
      <c r="AS174" s="50"/>
      <c r="AT174" s="51"/>
      <c r="AV174" s="47"/>
      <c r="AW174" s="47"/>
      <c r="AX174" s="50"/>
      <c r="AY174" s="50"/>
      <c r="AZ174" s="51"/>
    </row>
    <row r="175">
      <c r="B175" s="47"/>
      <c r="C175" s="47"/>
      <c r="D175" s="50"/>
      <c r="E175" s="47"/>
      <c r="F175" s="51"/>
      <c r="J175" s="47"/>
      <c r="K175" s="47"/>
      <c r="L175" s="49"/>
      <c r="M175" s="50"/>
      <c r="N175" s="51"/>
      <c r="P175" s="47"/>
      <c r="Q175" s="47"/>
      <c r="R175" s="50"/>
      <c r="S175" s="50"/>
      <c r="T175" s="51"/>
      <c r="V175" s="47"/>
      <c r="W175" s="47"/>
      <c r="X175" s="50"/>
      <c r="Y175" s="47"/>
      <c r="Z175" s="51"/>
      <c r="AD175" s="47"/>
      <c r="AE175" s="47"/>
      <c r="AF175" s="49"/>
      <c r="AG175" s="50"/>
      <c r="AH175" s="51"/>
      <c r="AJ175" s="47"/>
      <c r="AK175" s="47"/>
      <c r="AL175" s="50"/>
      <c r="AM175" s="50"/>
      <c r="AN175" s="51"/>
      <c r="AP175" s="47"/>
      <c r="AQ175" s="47"/>
      <c r="AR175" s="49"/>
      <c r="AS175" s="50"/>
      <c r="AT175" s="51"/>
      <c r="AV175" s="47"/>
      <c r="AW175" s="47"/>
      <c r="AX175" s="50"/>
      <c r="AY175" s="50"/>
      <c r="AZ175" s="51"/>
    </row>
    <row r="176">
      <c r="B176" s="47"/>
      <c r="C176" s="47"/>
      <c r="D176" s="50"/>
      <c r="E176" s="47"/>
      <c r="F176" s="51"/>
      <c r="J176" s="47"/>
      <c r="K176" s="47"/>
      <c r="L176" s="49"/>
      <c r="M176" s="50"/>
      <c r="N176" s="51"/>
      <c r="P176" s="47"/>
      <c r="Q176" s="47"/>
      <c r="R176" s="50"/>
      <c r="S176" s="50"/>
      <c r="T176" s="51"/>
      <c r="V176" s="47"/>
      <c r="W176" s="47"/>
      <c r="X176" s="50"/>
      <c r="Y176" s="47"/>
      <c r="Z176" s="51"/>
      <c r="AD176" s="47"/>
      <c r="AE176" s="47"/>
      <c r="AF176" s="49"/>
      <c r="AG176" s="50"/>
      <c r="AH176" s="51"/>
      <c r="AJ176" s="47"/>
      <c r="AK176" s="47"/>
      <c r="AL176" s="50"/>
      <c r="AM176" s="50"/>
      <c r="AN176" s="51"/>
      <c r="AP176" s="47"/>
      <c r="AQ176" s="47"/>
      <c r="AR176" s="49"/>
      <c r="AS176" s="50"/>
      <c r="AT176" s="51"/>
      <c r="AV176" s="47"/>
      <c r="AW176" s="47"/>
      <c r="AX176" s="50"/>
      <c r="AY176" s="50"/>
      <c r="AZ176" s="51"/>
    </row>
    <row r="177">
      <c r="B177" s="47"/>
      <c r="C177" s="47"/>
      <c r="D177" s="50"/>
      <c r="E177" s="47"/>
      <c r="F177" s="51"/>
      <c r="J177" s="47"/>
      <c r="K177" s="47"/>
      <c r="L177" s="49"/>
      <c r="M177" s="50"/>
      <c r="N177" s="51"/>
      <c r="P177" s="47"/>
      <c r="Q177" s="47"/>
      <c r="R177" s="50"/>
      <c r="S177" s="50"/>
      <c r="T177" s="51"/>
      <c r="V177" s="47"/>
      <c r="W177" s="47"/>
      <c r="X177" s="50"/>
      <c r="Y177" s="47"/>
      <c r="Z177" s="51"/>
      <c r="AD177" s="47"/>
      <c r="AE177" s="47"/>
      <c r="AF177" s="49"/>
      <c r="AG177" s="50"/>
      <c r="AH177" s="51"/>
      <c r="AJ177" s="47"/>
      <c r="AK177" s="47"/>
      <c r="AL177" s="50"/>
      <c r="AM177" s="50"/>
      <c r="AN177" s="51"/>
      <c r="AP177" s="47"/>
      <c r="AQ177" s="47"/>
      <c r="AR177" s="49"/>
      <c r="AS177" s="50"/>
      <c r="AT177" s="51"/>
      <c r="AV177" s="47"/>
      <c r="AW177" s="47"/>
      <c r="AX177" s="50"/>
      <c r="AY177" s="50"/>
      <c r="AZ177" s="51"/>
    </row>
    <row r="178">
      <c r="B178" s="47"/>
      <c r="C178" s="47"/>
      <c r="D178" s="50"/>
      <c r="E178" s="47"/>
      <c r="F178" s="51"/>
      <c r="J178" s="47"/>
      <c r="K178" s="47"/>
      <c r="L178" s="49"/>
      <c r="M178" s="50"/>
      <c r="N178" s="51"/>
      <c r="P178" s="47"/>
      <c r="Q178" s="47"/>
      <c r="R178" s="50"/>
      <c r="S178" s="50"/>
      <c r="T178" s="51"/>
      <c r="V178" s="47"/>
      <c r="W178" s="47"/>
      <c r="X178" s="50"/>
      <c r="Y178" s="47"/>
      <c r="Z178" s="51"/>
      <c r="AD178" s="47"/>
      <c r="AE178" s="47"/>
      <c r="AF178" s="49"/>
      <c r="AG178" s="50"/>
      <c r="AH178" s="51"/>
      <c r="AJ178" s="47"/>
      <c r="AK178" s="47"/>
      <c r="AL178" s="50"/>
      <c r="AM178" s="50"/>
      <c r="AN178" s="51"/>
      <c r="AP178" s="47"/>
      <c r="AQ178" s="47"/>
      <c r="AR178" s="49"/>
      <c r="AS178" s="50"/>
      <c r="AT178" s="51"/>
      <c r="AV178" s="47"/>
      <c r="AW178" s="47"/>
      <c r="AX178" s="50"/>
      <c r="AY178" s="50"/>
      <c r="AZ178" s="51"/>
    </row>
    <row r="179">
      <c r="B179" s="47"/>
      <c r="C179" s="47"/>
      <c r="D179" s="50"/>
      <c r="E179" s="47"/>
      <c r="F179" s="51"/>
      <c r="J179" s="47"/>
      <c r="K179" s="47"/>
      <c r="L179" s="49"/>
      <c r="M179" s="50"/>
      <c r="N179" s="51"/>
      <c r="P179" s="47"/>
      <c r="Q179" s="47"/>
      <c r="R179" s="50"/>
      <c r="S179" s="50"/>
      <c r="T179" s="51"/>
      <c r="V179" s="47"/>
      <c r="W179" s="47"/>
      <c r="X179" s="50"/>
      <c r="Y179" s="47"/>
      <c r="Z179" s="51"/>
      <c r="AD179" s="47"/>
      <c r="AE179" s="47"/>
      <c r="AF179" s="49"/>
      <c r="AG179" s="50"/>
      <c r="AH179" s="51"/>
      <c r="AJ179" s="47"/>
      <c r="AK179" s="47"/>
      <c r="AL179" s="50"/>
      <c r="AM179" s="50"/>
      <c r="AN179" s="51"/>
      <c r="AP179" s="47"/>
      <c r="AQ179" s="47"/>
      <c r="AR179" s="49"/>
      <c r="AS179" s="50"/>
      <c r="AT179" s="51"/>
      <c r="AV179" s="47"/>
      <c r="AW179" s="47"/>
      <c r="AX179" s="50"/>
      <c r="AY179" s="50"/>
      <c r="AZ179" s="51"/>
    </row>
    <row r="180">
      <c r="B180" s="47"/>
      <c r="C180" s="47"/>
      <c r="D180" s="50"/>
      <c r="E180" s="47"/>
      <c r="F180" s="51"/>
      <c r="J180" s="47"/>
      <c r="K180" s="47"/>
      <c r="L180" s="49"/>
      <c r="M180" s="50"/>
      <c r="N180" s="51"/>
      <c r="P180" s="47"/>
      <c r="Q180" s="47"/>
      <c r="R180" s="50"/>
      <c r="S180" s="50"/>
      <c r="T180" s="51"/>
      <c r="V180" s="47"/>
      <c r="W180" s="47"/>
      <c r="X180" s="50"/>
      <c r="Y180" s="47"/>
      <c r="Z180" s="51"/>
      <c r="AD180" s="47"/>
      <c r="AE180" s="47"/>
      <c r="AF180" s="49"/>
      <c r="AG180" s="50"/>
      <c r="AH180" s="51"/>
      <c r="AJ180" s="47"/>
      <c r="AK180" s="47"/>
      <c r="AL180" s="50"/>
      <c r="AM180" s="50"/>
      <c r="AN180" s="51"/>
      <c r="AP180" s="47"/>
      <c r="AQ180" s="47"/>
      <c r="AR180" s="49"/>
      <c r="AS180" s="50"/>
      <c r="AT180" s="51"/>
      <c r="AV180" s="47"/>
      <c r="AW180" s="47"/>
      <c r="AX180" s="50"/>
      <c r="AY180" s="50"/>
      <c r="AZ180" s="51"/>
    </row>
    <row r="181">
      <c r="B181" s="47"/>
      <c r="C181" s="47"/>
      <c r="D181" s="50"/>
      <c r="E181" s="47"/>
      <c r="F181" s="51"/>
      <c r="J181" s="47"/>
      <c r="K181" s="47"/>
      <c r="L181" s="49"/>
      <c r="M181" s="50"/>
      <c r="N181" s="51"/>
      <c r="P181" s="47"/>
      <c r="Q181" s="47"/>
      <c r="R181" s="50"/>
      <c r="S181" s="50"/>
      <c r="T181" s="51"/>
      <c r="V181" s="47"/>
      <c r="W181" s="47"/>
      <c r="X181" s="50"/>
      <c r="Y181" s="47"/>
      <c r="Z181" s="51"/>
      <c r="AD181" s="47"/>
      <c r="AE181" s="47"/>
      <c r="AF181" s="49"/>
      <c r="AG181" s="50"/>
      <c r="AH181" s="51"/>
      <c r="AJ181" s="47"/>
      <c r="AK181" s="47"/>
      <c r="AL181" s="50"/>
      <c r="AM181" s="50"/>
      <c r="AN181" s="51"/>
      <c r="AP181" s="47"/>
      <c r="AQ181" s="47"/>
      <c r="AR181" s="49"/>
      <c r="AS181" s="50"/>
      <c r="AT181" s="51"/>
      <c r="AV181" s="47"/>
      <c r="AW181" s="47"/>
      <c r="AX181" s="50"/>
      <c r="AY181" s="50"/>
      <c r="AZ181" s="51"/>
    </row>
    <row r="182">
      <c r="B182" s="47"/>
      <c r="C182" s="47"/>
      <c r="D182" s="50"/>
      <c r="E182" s="47"/>
      <c r="F182" s="51"/>
      <c r="J182" s="47"/>
      <c r="K182" s="47"/>
      <c r="L182" s="49"/>
      <c r="M182" s="50"/>
      <c r="N182" s="51"/>
      <c r="P182" s="47"/>
      <c r="Q182" s="47"/>
      <c r="R182" s="50"/>
      <c r="S182" s="50"/>
      <c r="T182" s="51"/>
      <c r="V182" s="47"/>
      <c r="W182" s="47"/>
      <c r="X182" s="50"/>
      <c r="Y182" s="47"/>
      <c r="Z182" s="51"/>
      <c r="AD182" s="47"/>
      <c r="AE182" s="47"/>
      <c r="AF182" s="49"/>
      <c r="AG182" s="50"/>
      <c r="AH182" s="51"/>
      <c r="AJ182" s="47"/>
      <c r="AK182" s="47"/>
      <c r="AL182" s="50"/>
      <c r="AM182" s="50"/>
      <c r="AN182" s="51"/>
      <c r="AP182" s="47"/>
      <c r="AQ182" s="47"/>
      <c r="AR182" s="49"/>
      <c r="AS182" s="50"/>
      <c r="AT182" s="51"/>
      <c r="AV182" s="47"/>
      <c r="AW182" s="47"/>
      <c r="AX182" s="50"/>
      <c r="AY182" s="50"/>
      <c r="AZ182" s="51"/>
    </row>
    <row r="183">
      <c r="B183" s="47"/>
      <c r="C183" s="47"/>
      <c r="D183" s="50"/>
      <c r="E183" s="47"/>
      <c r="F183" s="51"/>
      <c r="J183" s="47"/>
      <c r="K183" s="47"/>
      <c r="L183" s="49"/>
      <c r="M183" s="50"/>
      <c r="N183" s="51"/>
      <c r="P183" s="47"/>
      <c r="Q183" s="47"/>
      <c r="R183" s="50"/>
      <c r="S183" s="50"/>
      <c r="T183" s="51"/>
      <c r="V183" s="47"/>
      <c r="W183" s="47"/>
      <c r="X183" s="50"/>
      <c r="Y183" s="47"/>
      <c r="Z183" s="51"/>
      <c r="AD183" s="47"/>
      <c r="AE183" s="47"/>
      <c r="AF183" s="49"/>
      <c r="AG183" s="50"/>
      <c r="AH183" s="51"/>
      <c r="AJ183" s="47"/>
      <c r="AK183" s="47"/>
      <c r="AL183" s="50"/>
      <c r="AM183" s="50"/>
      <c r="AN183" s="51"/>
      <c r="AP183" s="47"/>
      <c r="AQ183" s="47"/>
      <c r="AR183" s="49"/>
      <c r="AS183" s="50"/>
      <c r="AT183" s="51"/>
      <c r="AV183" s="47"/>
      <c r="AW183" s="47"/>
      <c r="AX183" s="50"/>
      <c r="AY183" s="50"/>
      <c r="AZ183" s="51"/>
    </row>
    <row r="184">
      <c r="B184" s="47"/>
      <c r="C184" s="47"/>
      <c r="D184" s="50"/>
      <c r="E184" s="47"/>
      <c r="F184" s="51"/>
      <c r="J184" s="47"/>
      <c r="K184" s="47"/>
      <c r="L184" s="49"/>
      <c r="M184" s="50"/>
      <c r="N184" s="51"/>
      <c r="P184" s="47"/>
      <c r="Q184" s="47"/>
      <c r="R184" s="50"/>
      <c r="S184" s="50"/>
      <c r="T184" s="51"/>
      <c r="V184" s="47"/>
      <c r="W184" s="47"/>
      <c r="X184" s="50"/>
      <c r="Y184" s="47"/>
      <c r="Z184" s="51"/>
      <c r="AD184" s="47"/>
      <c r="AE184" s="47"/>
      <c r="AF184" s="49"/>
      <c r="AG184" s="50"/>
      <c r="AH184" s="51"/>
      <c r="AJ184" s="47"/>
      <c r="AK184" s="47"/>
      <c r="AL184" s="50"/>
      <c r="AM184" s="50"/>
      <c r="AN184" s="51"/>
      <c r="AP184" s="47"/>
      <c r="AQ184" s="47"/>
      <c r="AR184" s="49"/>
      <c r="AS184" s="50"/>
      <c r="AT184" s="51"/>
      <c r="AV184" s="47"/>
      <c r="AW184" s="47"/>
      <c r="AX184" s="50"/>
      <c r="AY184" s="50"/>
      <c r="AZ184" s="51"/>
    </row>
    <row r="185">
      <c r="B185" s="47"/>
      <c r="C185" s="47"/>
      <c r="D185" s="50"/>
      <c r="E185" s="47"/>
      <c r="F185" s="51"/>
      <c r="J185" s="47"/>
      <c r="K185" s="47"/>
      <c r="L185" s="49"/>
      <c r="M185" s="50"/>
      <c r="N185" s="51"/>
      <c r="P185" s="47"/>
      <c r="Q185" s="47"/>
      <c r="R185" s="50"/>
      <c r="S185" s="50"/>
      <c r="T185" s="51"/>
      <c r="V185" s="47"/>
      <c r="W185" s="47"/>
      <c r="X185" s="50"/>
      <c r="Y185" s="47"/>
      <c r="Z185" s="51"/>
      <c r="AD185" s="47"/>
      <c r="AE185" s="47"/>
      <c r="AF185" s="49"/>
      <c r="AG185" s="50"/>
      <c r="AH185" s="51"/>
      <c r="AJ185" s="47"/>
      <c r="AK185" s="47"/>
      <c r="AL185" s="50"/>
      <c r="AM185" s="50"/>
      <c r="AN185" s="51"/>
      <c r="AP185" s="47"/>
      <c r="AQ185" s="47"/>
      <c r="AR185" s="49"/>
      <c r="AS185" s="50"/>
      <c r="AT185" s="51"/>
      <c r="AV185" s="47"/>
      <c r="AW185" s="47"/>
      <c r="AX185" s="50"/>
      <c r="AY185" s="50"/>
      <c r="AZ185" s="51"/>
    </row>
    <row r="186">
      <c r="B186" s="47"/>
      <c r="C186" s="47"/>
      <c r="D186" s="50"/>
      <c r="E186" s="47"/>
      <c r="F186" s="51"/>
      <c r="J186" s="47"/>
      <c r="K186" s="47"/>
      <c r="L186" s="49"/>
      <c r="M186" s="50"/>
      <c r="N186" s="51"/>
      <c r="P186" s="47"/>
      <c r="Q186" s="47"/>
      <c r="R186" s="50"/>
      <c r="S186" s="50"/>
      <c r="T186" s="51"/>
      <c r="V186" s="47"/>
      <c r="W186" s="47"/>
      <c r="X186" s="50"/>
      <c r="Y186" s="47"/>
      <c r="Z186" s="51"/>
      <c r="AD186" s="47"/>
      <c r="AE186" s="47"/>
      <c r="AF186" s="49"/>
      <c r="AG186" s="50"/>
      <c r="AH186" s="51"/>
      <c r="AJ186" s="47"/>
      <c r="AK186" s="47"/>
      <c r="AL186" s="50"/>
      <c r="AM186" s="50"/>
      <c r="AN186" s="51"/>
      <c r="AP186" s="47"/>
      <c r="AQ186" s="47"/>
      <c r="AR186" s="49"/>
      <c r="AS186" s="50"/>
      <c r="AT186" s="51"/>
      <c r="AV186" s="47"/>
      <c r="AW186" s="47"/>
      <c r="AX186" s="50"/>
      <c r="AY186" s="50"/>
      <c r="AZ186" s="51"/>
    </row>
    <row r="187">
      <c r="B187" s="47"/>
      <c r="C187" s="47"/>
      <c r="D187" s="50"/>
      <c r="E187" s="47"/>
      <c r="F187" s="51"/>
      <c r="J187" s="47"/>
      <c r="K187" s="47"/>
      <c r="L187" s="49"/>
      <c r="M187" s="50"/>
      <c r="N187" s="51"/>
      <c r="P187" s="47"/>
      <c r="Q187" s="47"/>
      <c r="R187" s="50"/>
      <c r="S187" s="50"/>
      <c r="T187" s="51"/>
      <c r="V187" s="47"/>
      <c r="W187" s="47"/>
      <c r="X187" s="50"/>
      <c r="Y187" s="47"/>
      <c r="Z187" s="51"/>
      <c r="AD187" s="47"/>
      <c r="AE187" s="47"/>
      <c r="AF187" s="49"/>
      <c r="AG187" s="50"/>
      <c r="AH187" s="51"/>
      <c r="AJ187" s="47"/>
      <c r="AK187" s="47"/>
      <c r="AL187" s="50"/>
      <c r="AM187" s="50"/>
      <c r="AN187" s="51"/>
      <c r="AP187" s="47"/>
      <c r="AQ187" s="47"/>
      <c r="AR187" s="49"/>
      <c r="AS187" s="50"/>
      <c r="AT187" s="51"/>
      <c r="AV187" s="47"/>
      <c r="AW187" s="47"/>
      <c r="AX187" s="50"/>
      <c r="AY187" s="50"/>
      <c r="AZ187" s="51"/>
    </row>
    <row r="188">
      <c r="B188" s="47"/>
      <c r="C188" s="47"/>
      <c r="D188" s="50"/>
      <c r="E188" s="47"/>
      <c r="F188" s="51"/>
      <c r="J188" s="47"/>
      <c r="K188" s="47"/>
      <c r="L188" s="49"/>
      <c r="M188" s="50"/>
      <c r="N188" s="51"/>
      <c r="P188" s="47"/>
      <c r="Q188" s="47"/>
      <c r="R188" s="50"/>
      <c r="S188" s="50"/>
      <c r="T188" s="51"/>
      <c r="V188" s="47"/>
      <c r="W188" s="47"/>
      <c r="X188" s="50"/>
      <c r="Y188" s="47"/>
      <c r="Z188" s="51"/>
      <c r="AD188" s="47"/>
      <c r="AE188" s="47"/>
      <c r="AF188" s="49"/>
      <c r="AG188" s="50"/>
      <c r="AH188" s="51"/>
      <c r="AJ188" s="47"/>
      <c r="AK188" s="47"/>
      <c r="AL188" s="50"/>
      <c r="AM188" s="50"/>
      <c r="AN188" s="51"/>
      <c r="AP188" s="47"/>
      <c r="AQ188" s="47"/>
      <c r="AR188" s="49"/>
      <c r="AS188" s="50"/>
      <c r="AT188" s="51"/>
      <c r="AV188" s="47"/>
      <c r="AW188" s="47"/>
      <c r="AX188" s="50"/>
      <c r="AY188" s="50"/>
      <c r="AZ188" s="51"/>
    </row>
    <row r="189">
      <c r="B189" s="47"/>
      <c r="C189" s="47"/>
      <c r="D189" s="50"/>
      <c r="E189" s="47"/>
      <c r="F189" s="51"/>
      <c r="J189" s="47"/>
      <c r="K189" s="47"/>
      <c r="L189" s="49"/>
      <c r="M189" s="50"/>
      <c r="N189" s="51"/>
      <c r="P189" s="47"/>
      <c r="Q189" s="47"/>
      <c r="R189" s="50"/>
      <c r="S189" s="50"/>
      <c r="T189" s="51"/>
      <c r="V189" s="47"/>
      <c r="W189" s="47"/>
      <c r="X189" s="50"/>
      <c r="Y189" s="47"/>
      <c r="Z189" s="51"/>
      <c r="AD189" s="47"/>
      <c r="AE189" s="47"/>
      <c r="AF189" s="49"/>
      <c r="AG189" s="50"/>
      <c r="AH189" s="51"/>
      <c r="AJ189" s="47"/>
      <c r="AK189" s="47"/>
      <c r="AL189" s="50"/>
      <c r="AM189" s="50"/>
      <c r="AN189" s="51"/>
      <c r="AP189" s="47"/>
      <c r="AQ189" s="47"/>
      <c r="AR189" s="49"/>
      <c r="AS189" s="50"/>
      <c r="AT189" s="51"/>
      <c r="AV189" s="47"/>
      <c r="AW189" s="47"/>
      <c r="AX189" s="50"/>
      <c r="AY189" s="50"/>
      <c r="AZ189" s="51"/>
    </row>
    <row r="190">
      <c r="B190" s="47"/>
      <c r="C190" s="47"/>
      <c r="D190" s="50"/>
      <c r="E190" s="47"/>
      <c r="F190" s="51"/>
      <c r="J190" s="47"/>
      <c r="K190" s="47"/>
      <c r="L190" s="49"/>
      <c r="M190" s="50"/>
      <c r="N190" s="51"/>
      <c r="P190" s="47"/>
      <c r="Q190" s="47"/>
      <c r="R190" s="50"/>
      <c r="S190" s="50"/>
      <c r="T190" s="51"/>
      <c r="V190" s="47"/>
      <c r="W190" s="47"/>
      <c r="X190" s="50"/>
      <c r="Y190" s="47"/>
      <c r="Z190" s="51"/>
      <c r="AD190" s="47"/>
      <c r="AE190" s="47"/>
      <c r="AF190" s="49"/>
      <c r="AG190" s="50"/>
      <c r="AH190" s="51"/>
      <c r="AJ190" s="47"/>
      <c r="AK190" s="47"/>
      <c r="AL190" s="50"/>
      <c r="AM190" s="50"/>
      <c r="AN190" s="51"/>
      <c r="AP190" s="47"/>
      <c r="AQ190" s="47"/>
      <c r="AR190" s="49"/>
      <c r="AS190" s="50"/>
      <c r="AT190" s="51"/>
      <c r="AV190" s="47"/>
      <c r="AW190" s="47"/>
      <c r="AX190" s="50"/>
      <c r="AY190" s="50"/>
      <c r="AZ190" s="51"/>
    </row>
    <row r="191">
      <c r="B191" s="47"/>
      <c r="C191" s="47"/>
      <c r="D191" s="50"/>
      <c r="E191" s="47"/>
      <c r="F191" s="51"/>
      <c r="J191" s="47"/>
      <c r="K191" s="47"/>
      <c r="L191" s="49"/>
      <c r="M191" s="50"/>
      <c r="N191" s="51"/>
      <c r="P191" s="47"/>
      <c r="Q191" s="47"/>
      <c r="R191" s="50"/>
      <c r="S191" s="50"/>
      <c r="T191" s="51"/>
      <c r="V191" s="47"/>
      <c r="W191" s="47"/>
      <c r="X191" s="50"/>
      <c r="Y191" s="47"/>
      <c r="Z191" s="51"/>
      <c r="AD191" s="47"/>
      <c r="AE191" s="47"/>
      <c r="AF191" s="49"/>
      <c r="AG191" s="50"/>
      <c r="AH191" s="51"/>
      <c r="AJ191" s="47"/>
      <c r="AK191" s="47"/>
      <c r="AL191" s="50"/>
      <c r="AM191" s="50"/>
      <c r="AN191" s="51"/>
      <c r="AP191" s="47"/>
      <c r="AQ191" s="47"/>
      <c r="AR191" s="49"/>
      <c r="AS191" s="50"/>
      <c r="AT191" s="51"/>
      <c r="AV191" s="47"/>
      <c r="AW191" s="47"/>
      <c r="AX191" s="50"/>
      <c r="AY191" s="50"/>
      <c r="AZ191" s="51"/>
    </row>
    <row r="192">
      <c r="B192" s="47"/>
      <c r="C192" s="47"/>
      <c r="D192" s="50"/>
      <c r="E192" s="47"/>
      <c r="F192" s="51"/>
      <c r="J192" s="47"/>
      <c r="K192" s="47"/>
      <c r="L192" s="49"/>
      <c r="M192" s="50"/>
      <c r="N192" s="51"/>
      <c r="P192" s="47"/>
      <c r="Q192" s="47"/>
      <c r="R192" s="50"/>
      <c r="S192" s="50"/>
      <c r="T192" s="51"/>
      <c r="V192" s="47"/>
      <c r="W192" s="47"/>
      <c r="X192" s="50"/>
      <c r="Y192" s="47"/>
      <c r="Z192" s="51"/>
      <c r="AD192" s="47"/>
      <c r="AE192" s="47"/>
      <c r="AF192" s="49"/>
      <c r="AG192" s="50"/>
      <c r="AH192" s="51"/>
      <c r="AJ192" s="47"/>
      <c r="AK192" s="47"/>
      <c r="AL192" s="50"/>
      <c r="AM192" s="50"/>
      <c r="AN192" s="51"/>
      <c r="AP192" s="47"/>
      <c r="AQ192" s="47"/>
      <c r="AR192" s="49"/>
      <c r="AS192" s="50"/>
      <c r="AT192" s="51"/>
      <c r="AV192" s="47"/>
      <c r="AW192" s="47"/>
      <c r="AX192" s="50"/>
      <c r="AY192" s="50"/>
      <c r="AZ192" s="51"/>
    </row>
    <row r="193">
      <c r="B193" s="47"/>
      <c r="C193" s="47"/>
      <c r="D193" s="50"/>
      <c r="E193" s="47"/>
      <c r="F193" s="51"/>
      <c r="J193" s="47"/>
      <c r="K193" s="47"/>
      <c r="L193" s="49"/>
      <c r="M193" s="50"/>
      <c r="N193" s="51"/>
      <c r="P193" s="47"/>
      <c r="Q193" s="47"/>
      <c r="R193" s="50"/>
      <c r="S193" s="50"/>
      <c r="T193" s="51"/>
      <c r="V193" s="47"/>
      <c r="W193" s="47"/>
      <c r="X193" s="50"/>
      <c r="Y193" s="47"/>
      <c r="Z193" s="51"/>
      <c r="AD193" s="47"/>
      <c r="AE193" s="47"/>
      <c r="AF193" s="49"/>
      <c r="AG193" s="50"/>
      <c r="AH193" s="51"/>
      <c r="AJ193" s="47"/>
      <c r="AK193" s="47"/>
      <c r="AL193" s="50"/>
      <c r="AM193" s="50"/>
      <c r="AN193" s="51"/>
      <c r="AP193" s="47"/>
      <c r="AQ193" s="47"/>
      <c r="AR193" s="49"/>
      <c r="AS193" s="50"/>
      <c r="AT193" s="51"/>
      <c r="AV193" s="47"/>
      <c r="AW193" s="47"/>
      <c r="AX193" s="50"/>
      <c r="AY193" s="50"/>
      <c r="AZ193" s="51"/>
    </row>
    <row r="194">
      <c r="B194" s="47"/>
      <c r="C194" s="47"/>
      <c r="D194" s="50"/>
      <c r="E194" s="47"/>
      <c r="F194" s="51"/>
      <c r="J194" s="47"/>
      <c r="K194" s="47"/>
      <c r="L194" s="49"/>
      <c r="M194" s="50"/>
      <c r="N194" s="51"/>
      <c r="P194" s="47"/>
      <c r="Q194" s="47"/>
      <c r="R194" s="50"/>
      <c r="S194" s="50"/>
      <c r="T194" s="51"/>
      <c r="V194" s="47"/>
      <c r="W194" s="47"/>
      <c r="X194" s="50"/>
      <c r="Y194" s="47"/>
      <c r="Z194" s="51"/>
      <c r="AD194" s="47"/>
      <c r="AE194" s="47"/>
      <c r="AF194" s="49"/>
      <c r="AG194" s="50"/>
      <c r="AH194" s="51"/>
      <c r="AJ194" s="47"/>
      <c r="AK194" s="47"/>
      <c r="AL194" s="50"/>
      <c r="AM194" s="50"/>
      <c r="AN194" s="51"/>
      <c r="AP194" s="47"/>
      <c r="AQ194" s="47"/>
      <c r="AR194" s="49"/>
      <c r="AS194" s="50"/>
      <c r="AT194" s="51"/>
      <c r="AV194" s="47"/>
      <c r="AW194" s="47"/>
      <c r="AX194" s="50"/>
      <c r="AY194" s="50"/>
      <c r="AZ194" s="51"/>
    </row>
    <row r="195">
      <c r="B195" s="47"/>
      <c r="C195" s="47"/>
      <c r="D195" s="50"/>
      <c r="E195" s="47"/>
      <c r="F195" s="51"/>
      <c r="J195" s="47"/>
      <c r="K195" s="47"/>
      <c r="L195" s="49"/>
      <c r="M195" s="50"/>
      <c r="N195" s="51"/>
      <c r="P195" s="47"/>
      <c r="Q195" s="47"/>
      <c r="R195" s="50"/>
      <c r="S195" s="50"/>
      <c r="T195" s="51"/>
      <c r="V195" s="47"/>
      <c r="W195" s="47"/>
      <c r="X195" s="50"/>
      <c r="Y195" s="47"/>
      <c r="Z195" s="51"/>
      <c r="AD195" s="47"/>
      <c r="AE195" s="47"/>
      <c r="AF195" s="49"/>
      <c r="AG195" s="50"/>
      <c r="AH195" s="51"/>
      <c r="AJ195" s="47"/>
      <c r="AK195" s="47"/>
      <c r="AL195" s="50"/>
      <c r="AM195" s="50"/>
      <c r="AN195" s="51"/>
      <c r="AP195" s="47"/>
      <c r="AQ195" s="47"/>
      <c r="AR195" s="49"/>
      <c r="AS195" s="50"/>
      <c r="AT195" s="51"/>
      <c r="AV195" s="47"/>
      <c r="AW195" s="47"/>
      <c r="AX195" s="50"/>
      <c r="AY195" s="50"/>
      <c r="AZ195" s="51"/>
    </row>
    <row r="196">
      <c r="B196" s="47"/>
      <c r="C196" s="47"/>
      <c r="D196" s="50"/>
      <c r="E196" s="47"/>
      <c r="F196" s="51"/>
      <c r="J196" s="47"/>
      <c r="K196" s="47"/>
      <c r="L196" s="49"/>
      <c r="M196" s="50"/>
      <c r="N196" s="51"/>
      <c r="P196" s="47"/>
      <c r="Q196" s="47"/>
      <c r="R196" s="50"/>
      <c r="S196" s="50"/>
      <c r="T196" s="51"/>
      <c r="V196" s="47"/>
      <c r="W196" s="47"/>
      <c r="X196" s="50"/>
      <c r="Y196" s="47"/>
      <c r="Z196" s="51"/>
      <c r="AD196" s="47"/>
      <c r="AE196" s="47"/>
      <c r="AF196" s="49"/>
      <c r="AG196" s="50"/>
      <c r="AH196" s="51"/>
      <c r="AJ196" s="47"/>
      <c r="AK196" s="47"/>
      <c r="AL196" s="50"/>
      <c r="AM196" s="50"/>
      <c r="AN196" s="51"/>
      <c r="AP196" s="47"/>
      <c r="AQ196" s="47"/>
      <c r="AR196" s="49"/>
      <c r="AS196" s="50"/>
      <c r="AT196" s="51"/>
      <c r="AV196" s="47"/>
      <c r="AW196" s="47"/>
      <c r="AX196" s="50"/>
      <c r="AY196" s="50"/>
      <c r="AZ196" s="51"/>
    </row>
    <row r="197">
      <c r="B197" s="47"/>
      <c r="C197" s="47"/>
      <c r="D197" s="50"/>
      <c r="E197" s="47"/>
      <c r="F197" s="51"/>
      <c r="J197" s="47"/>
      <c r="K197" s="47"/>
      <c r="L197" s="49"/>
      <c r="M197" s="50"/>
      <c r="N197" s="51"/>
      <c r="P197" s="47"/>
      <c r="Q197" s="47"/>
      <c r="R197" s="50"/>
      <c r="S197" s="50"/>
      <c r="T197" s="51"/>
      <c r="V197" s="47"/>
      <c r="W197" s="47"/>
      <c r="X197" s="50"/>
      <c r="Y197" s="47"/>
      <c r="Z197" s="51"/>
      <c r="AD197" s="47"/>
      <c r="AE197" s="47"/>
      <c r="AF197" s="49"/>
      <c r="AG197" s="50"/>
      <c r="AH197" s="51"/>
      <c r="AJ197" s="47"/>
      <c r="AK197" s="47"/>
      <c r="AL197" s="50"/>
      <c r="AM197" s="50"/>
      <c r="AN197" s="51"/>
      <c r="AP197" s="47"/>
      <c r="AQ197" s="47"/>
      <c r="AR197" s="49"/>
      <c r="AS197" s="50"/>
      <c r="AT197" s="51"/>
      <c r="AV197" s="47"/>
      <c r="AW197" s="47"/>
      <c r="AX197" s="50"/>
      <c r="AY197" s="50"/>
      <c r="AZ197" s="51"/>
    </row>
    <row r="198">
      <c r="B198" s="47"/>
      <c r="C198" s="47"/>
      <c r="D198" s="50"/>
      <c r="E198" s="47"/>
      <c r="F198" s="51"/>
      <c r="J198" s="47"/>
      <c r="K198" s="47"/>
      <c r="L198" s="49"/>
      <c r="M198" s="50"/>
      <c r="N198" s="51"/>
      <c r="P198" s="47"/>
      <c r="Q198" s="47"/>
      <c r="R198" s="50"/>
      <c r="S198" s="50"/>
      <c r="T198" s="51"/>
      <c r="V198" s="47"/>
      <c r="W198" s="47"/>
      <c r="X198" s="50"/>
      <c r="Y198" s="47"/>
      <c r="Z198" s="51"/>
      <c r="AD198" s="47"/>
      <c r="AE198" s="47"/>
      <c r="AF198" s="49"/>
      <c r="AG198" s="50"/>
      <c r="AH198" s="51"/>
      <c r="AJ198" s="47"/>
      <c r="AK198" s="47"/>
      <c r="AL198" s="50"/>
      <c r="AM198" s="50"/>
      <c r="AN198" s="51"/>
      <c r="AP198" s="47"/>
      <c r="AQ198" s="47"/>
      <c r="AR198" s="49"/>
      <c r="AS198" s="50"/>
      <c r="AT198" s="51"/>
      <c r="AV198" s="47"/>
      <c r="AW198" s="47"/>
      <c r="AX198" s="50"/>
      <c r="AY198" s="50"/>
      <c r="AZ198" s="51"/>
    </row>
    <row r="199">
      <c r="B199" s="47"/>
      <c r="C199" s="47"/>
      <c r="D199" s="50"/>
      <c r="E199" s="47"/>
      <c r="F199" s="51"/>
      <c r="J199" s="47"/>
      <c r="K199" s="47"/>
      <c r="L199" s="49"/>
      <c r="M199" s="50"/>
      <c r="N199" s="51"/>
      <c r="P199" s="47"/>
      <c r="Q199" s="47"/>
      <c r="R199" s="50"/>
      <c r="S199" s="50"/>
      <c r="T199" s="51"/>
      <c r="V199" s="47"/>
      <c r="W199" s="47"/>
      <c r="X199" s="50"/>
      <c r="Y199" s="47"/>
      <c r="Z199" s="51"/>
      <c r="AD199" s="47"/>
      <c r="AE199" s="47"/>
      <c r="AF199" s="49"/>
      <c r="AG199" s="50"/>
      <c r="AH199" s="51"/>
      <c r="AJ199" s="47"/>
      <c r="AK199" s="47"/>
      <c r="AL199" s="50"/>
      <c r="AM199" s="50"/>
      <c r="AN199" s="51"/>
      <c r="AP199" s="47"/>
      <c r="AQ199" s="47"/>
      <c r="AR199" s="49"/>
      <c r="AS199" s="50"/>
      <c r="AT199" s="51"/>
      <c r="AV199" s="47"/>
      <c r="AW199" s="47"/>
      <c r="AX199" s="50"/>
      <c r="AY199" s="50"/>
      <c r="AZ199" s="51"/>
    </row>
    <row r="200">
      <c r="B200" s="47"/>
      <c r="C200" s="47"/>
      <c r="D200" s="50"/>
      <c r="E200" s="47"/>
      <c r="F200" s="51"/>
      <c r="J200" s="47"/>
      <c r="K200" s="47"/>
      <c r="L200" s="49"/>
      <c r="M200" s="50"/>
      <c r="N200" s="51"/>
      <c r="P200" s="47"/>
      <c r="Q200" s="47"/>
      <c r="R200" s="50"/>
      <c r="S200" s="50"/>
      <c r="T200" s="51"/>
      <c r="V200" s="47"/>
      <c r="W200" s="47"/>
      <c r="X200" s="50"/>
      <c r="Y200" s="47"/>
      <c r="Z200" s="51"/>
      <c r="AD200" s="47"/>
      <c r="AE200" s="47"/>
      <c r="AF200" s="49"/>
      <c r="AG200" s="50"/>
      <c r="AH200" s="51"/>
      <c r="AJ200" s="47"/>
      <c r="AK200" s="47"/>
      <c r="AL200" s="50"/>
      <c r="AM200" s="50"/>
      <c r="AN200" s="51"/>
      <c r="AP200" s="47"/>
      <c r="AQ200" s="47"/>
      <c r="AR200" s="49"/>
      <c r="AS200" s="50"/>
      <c r="AT200" s="51"/>
      <c r="AV200" s="47"/>
      <c r="AW200" s="47"/>
      <c r="AX200" s="50"/>
      <c r="AY200" s="50"/>
      <c r="AZ200" s="51"/>
    </row>
    <row r="201">
      <c r="B201" s="47"/>
      <c r="C201" s="47"/>
      <c r="D201" s="50"/>
      <c r="E201" s="47"/>
      <c r="F201" s="51"/>
      <c r="J201" s="47"/>
      <c r="K201" s="47"/>
      <c r="L201" s="49"/>
      <c r="M201" s="50"/>
      <c r="N201" s="51"/>
      <c r="P201" s="47"/>
      <c r="Q201" s="47"/>
      <c r="R201" s="50"/>
      <c r="S201" s="50"/>
      <c r="T201" s="51"/>
      <c r="V201" s="47"/>
      <c r="W201" s="47"/>
      <c r="X201" s="50"/>
      <c r="Y201" s="47"/>
      <c r="Z201" s="51"/>
      <c r="AD201" s="47"/>
      <c r="AE201" s="47"/>
      <c r="AF201" s="49"/>
      <c r="AG201" s="50"/>
      <c r="AH201" s="51"/>
      <c r="AJ201" s="47"/>
      <c r="AK201" s="47"/>
      <c r="AL201" s="50"/>
      <c r="AM201" s="50"/>
      <c r="AN201" s="51"/>
      <c r="AP201" s="47"/>
      <c r="AQ201" s="47"/>
      <c r="AR201" s="49"/>
      <c r="AS201" s="50"/>
      <c r="AT201" s="51"/>
      <c r="AV201" s="47"/>
      <c r="AW201" s="47"/>
      <c r="AX201" s="50"/>
      <c r="AY201" s="50"/>
      <c r="AZ201" s="51"/>
    </row>
    <row r="202">
      <c r="B202" s="47"/>
      <c r="C202" s="47"/>
      <c r="D202" s="50"/>
      <c r="E202" s="47"/>
      <c r="F202" s="51"/>
      <c r="J202" s="47"/>
      <c r="K202" s="47"/>
      <c r="L202" s="49"/>
      <c r="M202" s="50"/>
      <c r="N202" s="51"/>
      <c r="P202" s="47"/>
      <c r="Q202" s="47"/>
      <c r="R202" s="50"/>
      <c r="S202" s="50"/>
      <c r="T202" s="51"/>
      <c r="V202" s="47"/>
      <c r="W202" s="47"/>
      <c r="X202" s="50"/>
      <c r="Y202" s="47"/>
      <c r="Z202" s="51"/>
      <c r="AD202" s="47"/>
      <c r="AE202" s="47"/>
      <c r="AF202" s="49"/>
      <c r="AG202" s="50"/>
      <c r="AH202" s="51"/>
      <c r="AJ202" s="47"/>
      <c r="AK202" s="47"/>
      <c r="AL202" s="50"/>
      <c r="AM202" s="50"/>
      <c r="AN202" s="51"/>
      <c r="AP202" s="47"/>
      <c r="AQ202" s="47"/>
      <c r="AR202" s="49"/>
      <c r="AS202" s="50"/>
      <c r="AT202" s="51"/>
      <c r="AV202" s="47"/>
      <c r="AW202" s="47"/>
      <c r="AX202" s="50"/>
      <c r="AY202" s="50"/>
      <c r="AZ202" s="51"/>
    </row>
    <row r="203">
      <c r="B203" s="47"/>
      <c r="C203" s="47"/>
      <c r="D203" s="50"/>
      <c r="E203" s="47"/>
      <c r="F203" s="51"/>
      <c r="J203" s="47"/>
      <c r="K203" s="47"/>
      <c r="L203" s="49"/>
      <c r="M203" s="50"/>
      <c r="N203" s="51"/>
      <c r="P203" s="47"/>
      <c r="Q203" s="47"/>
      <c r="R203" s="50"/>
      <c r="S203" s="50"/>
      <c r="T203" s="51"/>
      <c r="V203" s="47"/>
      <c r="W203" s="47"/>
      <c r="X203" s="50"/>
      <c r="Y203" s="47"/>
      <c r="Z203" s="51"/>
      <c r="AD203" s="47"/>
      <c r="AE203" s="47"/>
      <c r="AF203" s="49"/>
      <c r="AG203" s="50"/>
      <c r="AH203" s="51"/>
      <c r="AJ203" s="47"/>
      <c r="AK203" s="47"/>
      <c r="AL203" s="50"/>
      <c r="AM203" s="50"/>
      <c r="AN203" s="51"/>
      <c r="AP203" s="47"/>
      <c r="AQ203" s="47"/>
      <c r="AR203" s="49"/>
      <c r="AS203" s="50"/>
      <c r="AT203" s="51"/>
      <c r="AV203" s="47"/>
      <c r="AW203" s="47"/>
      <c r="AX203" s="50"/>
      <c r="AY203" s="50"/>
      <c r="AZ203" s="51"/>
    </row>
    <row r="204">
      <c r="B204" s="47"/>
      <c r="C204" s="47"/>
      <c r="D204" s="50"/>
      <c r="E204" s="47"/>
      <c r="F204" s="51"/>
      <c r="J204" s="47"/>
      <c r="K204" s="47"/>
      <c r="L204" s="49"/>
      <c r="M204" s="50"/>
      <c r="N204" s="51"/>
      <c r="P204" s="47"/>
      <c r="Q204" s="47"/>
      <c r="R204" s="50"/>
      <c r="S204" s="50"/>
      <c r="T204" s="51"/>
      <c r="V204" s="47"/>
      <c r="W204" s="47"/>
      <c r="X204" s="50"/>
      <c r="Y204" s="47"/>
      <c r="Z204" s="51"/>
      <c r="AD204" s="47"/>
      <c r="AE204" s="47"/>
      <c r="AF204" s="49"/>
      <c r="AG204" s="50"/>
      <c r="AH204" s="51"/>
      <c r="AJ204" s="47"/>
      <c r="AK204" s="47"/>
      <c r="AL204" s="50"/>
      <c r="AM204" s="50"/>
      <c r="AN204" s="51"/>
      <c r="AP204" s="47"/>
      <c r="AQ204" s="47"/>
      <c r="AR204" s="49"/>
      <c r="AS204" s="50"/>
      <c r="AT204" s="51"/>
      <c r="AV204" s="47"/>
      <c r="AW204" s="47"/>
      <c r="AX204" s="50"/>
      <c r="AY204" s="50"/>
      <c r="AZ204" s="51"/>
    </row>
    <row r="205">
      <c r="B205" s="47"/>
      <c r="C205" s="47"/>
      <c r="D205" s="50"/>
      <c r="E205" s="47"/>
      <c r="F205" s="51"/>
      <c r="J205" s="47"/>
      <c r="K205" s="47"/>
      <c r="L205" s="49"/>
      <c r="M205" s="50"/>
      <c r="N205" s="51"/>
      <c r="P205" s="47"/>
      <c r="Q205" s="47"/>
      <c r="R205" s="50"/>
      <c r="S205" s="50"/>
      <c r="T205" s="51"/>
      <c r="V205" s="47"/>
      <c r="W205" s="47"/>
      <c r="X205" s="50"/>
      <c r="Y205" s="47"/>
      <c r="Z205" s="51"/>
      <c r="AD205" s="47"/>
      <c r="AE205" s="47"/>
      <c r="AF205" s="49"/>
      <c r="AG205" s="50"/>
      <c r="AH205" s="51"/>
      <c r="AJ205" s="47"/>
      <c r="AK205" s="47"/>
      <c r="AL205" s="50"/>
      <c r="AM205" s="50"/>
      <c r="AN205" s="51"/>
      <c r="AP205" s="47"/>
      <c r="AQ205" s="47"/>
      <c r="AR205" s="49"/>
      <c r="AS205" s="50"/>
      <c r="AT205" s="51"/>
      <c r="AV205" s="47"/>
      <c r="AW205" s="47"/>
      <c r="AX205" s="50"/>
      <c r="AY205" s="50"/>
      <c r="AZ205" s="51"/>
    </row>
    <row r="206">
      <c r="B206" s="47"/>
      <c r="C206" s="47"/>
      <c r="D206" s="50"/>
      <c r="E206" s="47"/>
      <c r="F206" s="51"/>
      <c r="J206" s="47"/>
      <c r="K206" s="47"/>
      <c r="L206" s="49"/>
      <c r="M206" s="50"/>
      <c r="N206" s="51"/>
      <c r="P206" s="47"/>
      <c r="Q206" s="47"/>
      <c r="R206" s="50"/>
      <c r="S206" s="50"/>
      <c r="T206" s="51"/>
      <c r="V206" s="47"/>
      <c r="W206" s="47"/>
      <c r="X206" s="50"/>
      <c r="Y206" s="47"/>
      <c r="Z206" s="51"/>
      <c r="AD206" s="47"/>
      <c r="AE206" s="47"/>
      <c r="AF206" s="49"/>
      <c r="AG206" s="50"/>
      <c r="AH206" s="51"/>
      <c r="AJ206" s="47"/>
      <c r="AK206" s="47"/>
      <c r="AL206" s="50"/>
      <c r="AM206" s="50"/>
      <c r="AN206" s="51"/>
      <c r="AP206" s="47"/>
      <c r="AQ206" s="47"/>
      <c r="AR206" s="49"/>
      <c r="AS206" s="50"/>
      <c r="AT206" s="51"/>
      <c r="AV206" s="47"/>
      <c r="AW206" s="47"/>
      <c r="AX206" s="50"/>
      <c r="AY206" s="50"/>
      <c r="AZ206" s="51"/>
    </row>
    <row r="207">
      <c r="B207" s="47"/>
      <c r="C207" s="47"/>
      <c r="D207" s="50"/>
      <c r="E207" s="47"/>
      <c r="F207" s="51"/>
      <c r="J207" s="47"/>
      <c r="K207" s="47"/>
      <c r="L207" s="49"/>
      <c r="M207" s="50"/>
      <c r="N207" s="51"/>
      <c r="P207" s="47"/>
      <c r="Q207" s="47"/>
      <c r="R207" s="50"/>
      <c r="S207" s="50"/>
      <c r="T207" s="51"/>
      <c r="V207" s="47"/>
      <c r="W207" s="47"/>
      <c r="X207" s="50"/>
      <c r="Y207" s="47"/>
      <c r="Z207" s="51"/>
      <c r="AD207" s="47"/>
      <c r="AE207" s="47"/>
      <c r="AF207" s="49"/>
      <c r="AG207" s="50"/>
      <c r="AH207" s="51"/>
      <c r="AJ207" s="47"/>
      <c r="AK207" s="47"/>
      <c r="AL207" s="50"/>
      <c r="AM207" s="50"/>
      <c r="AN207" s="51"/>
      <c r="AP207" s="47"/>
      <c r="AQ207" s="47"/>
      <c r="AR207" s="49"/>
      <c r="AS207" s="50"/>
      <c r="AT207" s="51"/>
      <c r="AV207" s="47"/>
      <c r="AW207" s="47"/>
      <c r="AX207" s="50"/>
      <c r="AY207" s="50"/>
      <c r="AZ207" s="51"/>
    </row>
    <row r="208">
      <c r="B208" s="47"/>
      <c r="C208" s="47"/>
      <c r="D208" s="50"/>
      <c r="E208" s="47"/>
      <c r="F208" s="51"/>
      <c r="J208" s="47"/>
      <c r="K208" s="47"/>
      <c r="L208" s="49"/>
      <c r="M208" s="50"/>
      <c r="N208" s="51"/>
      <c r="P208" s="47"/>
      <c r="Q208" s="47"/>
      <c r="R208" s="50"/>
      <c r="S208" s="50"/>
      <c r="T208" s="51"/>
      <c r="V208" s="47"/>
      <c r="W208" s="47"/>
      <c r="X208" s="50"/>
      <c r="Y208" s="47"/>
      <c r="Z208" s="51"/>
      <c r="AD208" s="47"/>
      <c r="AE208" s="47"/>
      <c r="AF208" s="49"/>
      <c r="AG208" s="50"/>
      <c r="AH208" s="51"/>
      <c r="AJ208" s="47"/>
      <c r="AK208" s="47"/>
      <c r="AL208" s="50"/>
      <c r="AM208" s="50"/>
      <c r="AN208" s="51"/>
      <c r="AP208" s="47"/>
      <c r="AQ208" s="47"/>
      <c r="AR208" s="49"/>
      <c r="AS208" s="50"/>
      <c r="AT208" s="51"/>
      <c r="AV208" s="47"/>
      <c r="AW208" s="47"/>
      <c r="AX208" s="50"/>
      <c r="AY208" s="50"/>
      <c r="AZ208" s="51"/>
    </row>
    <row r="209">
      <c r="B209" s="47"/>
      <c r="C209" s="47"/>
      <c r="D209" s="50"/>
      <c r="E209" s="47"/>
      <c r="F209" s="51"/>
      <c r="J209" s="47"/>
      <c r="K209" s="47"/>
      <c r="L209" s="49"/>
      <c r="M209" s="50"/>
      <c r="N209" s="51"/>
      <c r="P209" s="47"/>
      <c r="Q209" s="47"/>
      <c r="R209" s="50"/>
      <c r="S209" s="50"/>
      <c r="T209" s="51"/>
      <c r="V209" s="47"/>
      <c r="W209" s="47"/>
      <c r="X209" s="50"/>
      <c r="Y209" s="47"/>
      <c r="Z209" s="51"/>
      <c r="AD209" s="47"/>
      <c r="AE209" s="47"/>
      <c r="AF209" s="49"/>
      <c r="AG209" s="50"/>
      <c r="AH209" s="51"/>
      <c r="AJ209" s="47"/>
      <c r="AK209" s="47"/>
      <c r="AL209" s="50"/>
      <c r="AM209" s="50"/>
      <c r="AN209" s="51"/>
      <c r="AP209" s="47"/>
      <c r="AQ209" s="47"/>
      <c r="AR209" s="49"/>
      <c r="AS209" s="50"/>
      <c r="AT209" s="51"/>
      <c r="AV209" s="47"/>
      <c r="AW209" s="47"/>
      <c r="AX209" s="50"/>
      <c r="AY209" s="50"/>
      <c r="AZ209" s="51"/>
    </row>
    <row r="210">
      <c r="B210" s="47"/>
      <c r="C210" s="47"/>
      <c r="D210" s="50"/>
      <c r="E210" s="47"/>
      <c r="F210" s="51"/>
      <c r="J210" s="47"/>
      <c r="K210" s="47"/>
      <c r="L210" s="49"/>
      <c r="M210" s="50"/>
      <c r="N210" s="51"/>
      <c r="P210" s="47"/>
      <c r="Q210" s="47"/>
      <c r="R210" s="50"/>
      <c r="S210" s="50"/>
      <c r="T210" s="51"/>
      <c r="V210" s="47"/>
      <c r="W210" s="47"/>
      <c r="X210" s="50"/>
      <c r="Y210" s="47"/>
      <c r="Z210" s="51"/>
      <c r="AD210" s="47"/>
      <c r="AE210" s="47"/>
      <c r="AF210" s="49"/>
      <c r="AG210" s="50"/>
      <c r="AH210" s="51"/>
      <c r="AJ210" s="47"/>
      <c r="AK210" s="47"/>
      <c r="AL210" s="50"/>
      <c r="AM210" s="50"/>
      <c r="AN210" s="51"/>
      <c r="AP210" s="47"/>
      <c r="AQ210" s="47"/>
      <c r="AR210" s="49"/>
      <c r="AS210" s="50"/>
      <c r="AT210" s="51"/>
      <c r="AV210" s="47"/>
      <c r="AW210" s="47"/>
      <c r="AX210" s="50"/>
      <c r="AY210" s="50"/>
      <c r="AZ210" s="51"/>
    </row>
    <row r="211">
      <c r="B211" s="47"/>
      <c r="C211" s="47"/>
      <c r="D211" s="50"/>
      <c r="E211" s="47"/>
      <c r="F211" s="51"/>
      <c r="L211" s="49"/>
      <c r="M211" s="50"/>
      <c r="N211" s="51"/>
      <c r="R211" s="50"/>
      <c r="S211" s="50"/>
      <c r="T211" s="51"/>
      <c r="V211" s="47"/>
      <c r="W211" s="47"/>
      <c r="X211" s="50"/>
      <c r="Y211" s="47"/>
      <c r="Z211" s="51"/>
      <c r="AF211" s="49"/>
      <c r="AG211" s="50"/>
      <c r="AH211" s="51"/>
      <c r="AL211" s="50"/>
      <c r="AM211" s="50"/>
      <c r="AN211" s="51"/>
      <c r="AR211" s="49"/>
      <c r="AS211" s="50"/>
      <c r="AT211" s="51"/>
      <c r="AX211" s="50"/>
      <c r="AY211" s="50"/>
      <c r="AZ211" s="51"/>
    </row>
    <row r="212">
      <c r="B212" s="47"/>
      <c r="C212" s="47"/>
      <c r="D212" s="50"/>
      <c r="E212" s="47"/>
      <c r="F212" s="51"/>
      <c r="L212" s="49"/>
      <c r="M212" s="50"/>
      <c r="N212" s="51"/>
      <c r="R212" s="50"/>
      <c r="S212" s="50"/>
      <c r="T212" s="51"/>
      <c r="V212" s="47"/>
      <c r="W212" s="47"/>
      <c r="X212" s="50"/>
      <c r="Y212" s="47"/>
      <c r="Z212" s="51"/>
      <c r="AF212" s="49"/>
      <c r="AG212" s="50"/>
      <c r="AH212" s="51"/>
      <c r="AL212" s="50"/>
      <c r="AM212" s="50"/>
      <c r="AN212" s="51"/>
      <c r="AR212" s="49"/>
      <c r="AS212" s="50"/>
      <c r="AT212" s="51"/>
      <c r="AX212" s="50"/>
      <c r="AY212" s="50"/>
      <c r="AZ212" s="51"/>
    </row>
    <row r="213">
      <c r="D213" s="50"/>
      <c r="F213" s="51"/>
      <c r="L213" s="49"/>
      <c r="M213" s="50"/>
      <c r="N213" s="51"/>
      <c r="R213" s="50"/>
      <c r="S213" s="50"/>
      <c r="T213" s="51"/>
      <c r="X213" s="50"/>
      <c r="Z213" s="51"/>
      <c r="AF213" s="49"/>
      <c r="AG213" s="50"/>
      <c r="AH213" s="51"/>
      <c r="AL213" s="50"/>
      <c r="AM213" s="50"/>
      <c r="AN213" s="51"/>
      <c r="AR213" s="49"/>
      <c r="AS213" s="50"/>
      <c r="AT213" s="51"/>
      <c r="AX213" s="50"/>
      <c r="AY213" s="50"/>
      <c r="AZ213" s="51"/>
    </row>
    <row r="214">
      <c r="D214" s="50"/>
      <c r="F214" s="51"/>
      <c r="L214" s="49"/>
      <c r="M214" s="50"/>
      <c r="N214" s="51"/>
      <c r="R214" s="50"/>
      <c r="S214" s="50"/>
      <c r="T214" s="51"/>
      <c r="X214" s="50"/>
      <c r="Z214" s="51"/>
      <c r="AF214" s="49"/>
      <c r="AG214" s="50"/>
      <c r="AH214" s="51"/>
      <c r="AL214" s="50"/>
      <c r="AM214" s="50"/>
      <c r="AN214" s="51"/>
      <c r="AR214" s="49"/>
      <c r="AS214" s="50"/>
      <c r="AT214" s="51"/>
      <c r="AX214" s="50"/>
      <c r="AY214" s="50"/>
      <c r="AZ214" s="51"/>
    </row>
    <row r="215">
      <c r="D215" s="50"/>
      <c r="F215" s="51"/>
      <c r="L215" s="49"/>
      <c r="M215" s="50"/>
      <c r="N215" s="51"/>
      <c r="R215" s="50"/>
      <c r="S215" s="50"/>
      <c r="T215" s="51"/>
      <c r="X215" s="50"/>
      <c r="Z215" s="51"/>
      <c r="AF215" s="49"/>
      <c r="AG215" s="50"/>
      <c r="AH215" s="51"/>
      <c r="AL215" s="50"/>
      <c r="AM215" s="50"/>
      <c r="AN215" s="51"/>
      <c r="AR215" s="49"/>
      <c r="AS215" s="50"/>
      <c r="AT215" s="51"/>
      <c r="AX215" s="50"/>
      <c r="AY215" s="50"/>
      <c r="AZ215" s="51"/>
    </row>
    <row r="216">
      <c r="D216" s="50"/>
      <c r="F216" s="51"/>
      <c r="L216" s="49"/>
      <c r="M216" s="50"/>
      <c r="N216" s="51"/>
      <c r="R216" s="50"/>
      <c r="S216" s="50"/>
      <c r="T216" s="51"/>
      <c r="X216" s="50"/>
      <c r="Z216" s="51"/>
      <c r="AF216" s="49"/>
      <c r="AG216" s="50"/>
      <c r="AH216" s="51"/>
      <c r="AL216" s="50"/>
      <c r="AM216" s="50"/>
      <c r="AN216" s="51"/>
      <c r="AR216" s="49"/>
      <c r="AS216" s="50"/>
      <c r="AT216" s="51"/>
      <c r="AX216" s="50"/>
      <c r="AY216" s="50"/>
      <c r="AZ216" s="51"/>
    </row>
    <row r="217">
      <c r="D217" s="50"/>
      <c r="F217" s="51"/>
      <c r="L217" s="49"/>
      <c r="M217" s="50"/>
      <c r="N217" s="51"/>
      <c r="R217" s="50"/>
      <c r="S217" s="50"/>
      <c r="T217" s="51"/>
      <c r="X217" s="50"/>
      <c r="Z217" s="51"/>
      <c r="AF217" s="49"/>
      <c r="AG217" s="50"/>
      <c r="AH217" s="51"/>
      <c r="AL217" s="50"/>
      <c r="AM217" s="50"/>
      <c r="AN217" s="51"/>
      <c r="AR217" s="49"/>
      <c r="AS217" s="50"/>
      <c r="AT217" s="51"/>
      <c r="AX217" s="50"/>
      <c r="AY217" s="50"/>
      <c r="AZ217" s="51"/>
    </row>
    <row r="218">
      <c r="D218" s="50"/>
      <c r="F218" s="51"/>
      <c r="L218" s="49"/>
      <c r="M218" s="50"/>
      <c r="N218" s="51"/>
      <c r="R218" s="50"/>
      <c r="S218" s="50"/>
      <c r="T218" s="51"/>
      <c r="X218" s="50"/>
      <c r="Z218" s="51"/>
      <c r="AF218" s="49"/>
      <c r="AG218" s="50"/>
      <c r="AH218" s="51"/>
      <c r="AL218" s="50"/>
      <c r="AM218" s="50"/>
      <c r="AN218" s="51"/>
      <c r="AR218" s="49"/>
      <c r="AS218" s="50"/>
      <c r="AT218" s="51"/>
      <c r="AX218" s="50"/>
      <c r="AY218" s="50"/>
      <c r="AZ218" s="51"/>
    </row>
    <row r="219">
      <c r="D219" s="50"/>
      <c r="E219" s="50"/>
      <c r="F219" s="51"/>
      <c r="L219" s="50"/>
      <c r="M219" s="50"/>
      <c r="N219" s="51"/>
      <c r="R219" s="50"/>
      <c r="S219" s="50"/>
      <c r="T219" s="51"/>
      <c r="X219" s="50"/>
      <c r="Y219" s="50"/>
      <c r="Z219" s="51"/>
      <c r="AF219" s="50"/>
      <c r="AG219" s="50"/>
      <c r="AH219" s="51"/>
      <c r="AL219" s="50"/>
      <c r="AM219" s="50"/>
      <c r="AN219" s="51"/>
      <c r="AR219" s="50"/>
      <c r="AS219" s="50"/>
      <c r="AT219" s="51"/>
      <c r="AX219" s="50"/>
      <c r="AY219" s="50"/>
      <c r="AZ219" s="51"/>
    </row>
    <row r="220">
      <c r="D220" s="50"/>
      <c r="E220" s="50"/>
      <c r="F220" s="51"/>
      <c r="L220" s="50"/>
      <c r="M220" s="50"/>
      <c r="N220" s="51"/>
      <c r="R220" s="50"/>
      <c r="S220" s="50"/>
      <c r="T220" s="51"/>
      <c r="X220" s="50"/>
      <c r="Y220" s="50"/>
      <c r="Z220" s="51"/>
      <c r="AF220" s="50"/>
      <c r="AG220" s="50"/>
      <c r="AH220" s="51"/>
      <c r="AL220" s="50"/>
      <c r="AM220" s="50"/>
      <c r="AN220" s="51"/>
      <c r="AR220" s="50"/>
      <c r="AS220" s="50"/>
      <c r="AT220" s="51"/>
      <c r="AX220" s="50"/>
      <c r="AY220" s="50"/>
      <c r="AZ220" s="51"/>
    </row>
    <row r="221">
      <c r="D221" s="50"/>
      <c r="E221" s="50"/>
      <c r="F221" s="51"/>
      <c r="L221" s="50"/>
      <c r="M221" s="50"/>
      <c r="N221" s="51"/>
      <c r="R221" s="50"/>
      <c r="S221" s="50"/>
      <c r="T221" s="51"/>
      <c r="X221" s="50"/>
      <c r="Y221" s="50"/>
      <c r="Z221" s="51"/>
      <c r="AF221" s="50"/>
      <c r="AG221" s="50"/>
      <c r="AH221" s="51"/>
      <c r="AL221" s="50"/>
      <c r="AM221" s="50"/>
      <c r="AN221" s="51"/>
      <c r="AR221" s="50"/>
      <c r="AS221" s="50"/>
      <c r="AT221" s="51"/>
      <c r="AX221" s="50"/>
      <c r="AY221" s="50"/>
      <c r="AZ221" s="51"/>
    </row>
    <row r="222">
      <c r="C222" s="52"/>
      <c r="D222" s="52"/>
      <c r="E222" s="52"/>
      <c r="K222" s="52"/>
      <c r="L222" s="52"/>
      <c r="M222" s="52"/>
      <c r="Q222" s="52"/>
      <c r="R222" s="52"/>
      <c r="S222" s="52"/>
      <c r="W222" s="52"/>
      <c r="X222" s="52"/>
      <c r="Y222" s="52"/>
      <c r="AE222" s="52"/>
      <c r="AF222" s="52"/>
      <c r="AG222" s="52"/>
      <c r="AK222" s="52"/>
      <c r="AL222" s="52"/>
      <c r="AM222" s="52"/>
      <c r="AQ222" s="52"/>
      <c r="AR222" s="52"/>
      <c r="AS222" s="52"/>
      <c r="AW222" s="52"/>
      <c r="AX222" s="52"/>
      <c r="AY222" s="52"/>
    </row>
    <row r="223">
      <c r="C223" s="52"/>
      <c r="D223" s="52"/>
      <c r="E223" s="50"/>
      <c r="F223" s="51"/>
      <c r="K223" s="52"/>
      <c r="L223" s="52"/>
      <c r="M223" s="50"/>
      <c r="N223" s="51"/>
      <c r="Q223" s="52"/>
      <c r="R223" s="52"/>
      <c r="S223" s="50"/>
      <c r="T223" s="51"/>
      <c r="W223" s="52"/>
      <c r="X223" s="52"/>
      <c r="Y223" s="50"/>
      <c r="Z223" s="51"/>
      <c r="AE223" s="52"/>
      <c r="AF223" s="52"/>
      <c r="AG223" s="50"/>
      <c r="AH223" s="51"/>
      <c r="AK223" s="52"/>
      <c r="AL223" s="52"/>
      <c r="AM223" s="50"/>
      <c r="AN223" s="51"/>
      <c r="AQ223" s="52"/>
      <c r="AR223" s="52"/>
      <c r="AS223" s="50"/>
      <c r="AT223" s="51"/>
      <c r="AW223" s="52"/>
      <c r="AX223" s="52"/>
      <c r="AY223" s="50"/>
      <c r="AZ223" s="51"/>
    </row>
    <row r="224">
      <c r="C224" s="52"/>
      <c r="D224" s="52"/>
      <c r="E224" s="50"/>
      <c r="F224" s="51"/>
      <c r="K224" s="52"/>
      <c r="L224" s="52"/>
      <c r="M224" s="50"/>
      <c r="N224" s="51"/>
      <c r="Q224" s="52"/>
      <c r="R224" s="52"/>
      <c r="S224" s="50"/>
      <c r="T224" s="51"/>
      <c r="W224" s="52"/>
      <c r="X224" s="52"/>
      <c r="Y224" s="50"/>
      <c r="Z224" s="51"/>
      <c r="AE224" s="52"/>
      <c r="AF224" s="52"/>
      <c r="AG224" s="50"/>
      <c r="AH224" s="51"/>
      <c r="AK224" s="52"/>
      <c r="AL224" s="52"/>
      <c r="AM224" s="50"/>
      <c r="AN224" s="51"/>
      <c r="AQ224" s="52"/>
      <c r="AR224" s="52"/>
      <c r="AS224" s="50"/>
      <c r="AT224" s="51"/>
      <c r="AW224" s="52"/>
      <c r="AX224" s="52"/>
      <c r="AY224" s="50"/>
      <c r="AZ224" s="51"/>
    </row>
    <row r="225">
      <c r="C225" s="52"/>
      <c r="D225" s="52"/>
      <c r="E225" s="50"/>
      <c r="F225" s="51"/>
      <c r="H225" s="50"/>
      <c r="K225" s="52"/>
      <c r="L225" s="52"/>
      <c r="M225" s="50"/>
      <c r="N225" s="51"/>
      <c r="Q225" s="52"/>
      <c r="R225" s="52"/>
      <c r="S225" s="50"/>
      <c r="T225" s="51"/>
      <c r="W225" s="52"/>
      <c r="X225" s="52"/>
      <c r="Y225" s="50"/>
      <c r="Z225" s="51"/>
      <c r="AB225" s="50"/>
      <c r="AE225" s="52"/>
      <c r="AF225" s="52"/>
      <c r="AG225" s="50"/>
      <c r="AH225" s="51"/>
      <c r="AK225" s="52"/>
      <c r="AL225" s="52"/>
      <c r="AM225" s="50"/>
      <c r="AN225" s="51"/>
      <c r="AQ225" s="52"/>
      <c r="AR225" s="52"/>
      <c r="AS225" s="50"/>
      <c r="AT225" s="51"/>
      <c r="AW225" s="52"/>
      <c r="AX225" s="52"/>
      <c r="AY225" s="50"/>
      <c r="AZ225" s="51"/>
    </row>
    <row r="226">
      <c r="C226" s="52"/>
      <c r="D226" s="52"/>
      <c r="E226" s="50"/>
      <c r="K226" s="52"/>
      <c r="L226" s="52"/>
      <c r="M226" s="50"/>
      <c r="Q226" s="52"/>
      <c r="R226" s="52"/>
      <c r="S226" s="50"/>
      <c r="W226" s="52"/>
      <c r="X226" s="52"/>
      <c r="Y226" s="50"/>
      <c r="AE226" s="52"/>
      <c r="AF226" s="52"/>
      <c r="AG226" s="50"/>
      <c r="AK226" s="52"/>
      <c r="AL226" s="52"/>
      <c r="AM226" s="50"/>
      <c r="AQ226" s="52"/>
      <c r="AR226" s="52"/>
      <c r="AS226" s="50"/>
      <c r="AW226" s="52"/>
      <c r="AX226" s="52"/>
      <c r="AY226" s="50"/>
    </row>
    <row r="227">
      <c r="C227" s="52"/>
      <c r="D227" s="52"/>
      <c r="E227" s="50"/>
      <c r="F227" s="51"/>
      <c r="K227" s="52"/>
      <c r="L227" s="52"/>
      <c r="M227" s="50"/>
      <c r="N227" s="51"/>
      <c r="Q227" s="52"/>
      <c r="R227" s="52"/>
      <c r="S227" s="50"/>
      <c r="T227" s="51"/>
      <c r="W227" s="52"/>
      <c r="X227" s="52"/>
      <c r="Y227" s="50"/>
      <c r="Z227" s="51"/>
      <c r="AE227" s="52"/>
      <c r="AF227" s="52"/>
      <c r="AG227" s="50"/>
      <c r="AH227" s="51"/>
      <c r="AK227" s="52"/>
      <c r="AL227" s="52"/>
      <c r="AM227" s="50"/>
      <c r="AN227" s="51"/>
      <c r="AQ227" s="52"/>
      <c r="AR227" s="52"/>
      <c r="AS227" s="50"/>
      <c r="AT227" s="51"/>
      <c r="AW227" s="52"/>
      <c r="AX227" s="52"/>
      <c r="AY227" s="50"/>
      <c r="AZ227" s="51"/>
    </row>
    <row r="228">
      <c r="C228" s="52"/>
      <c r="D228" s="52"/>
      <c r="E228" s="50"/>
      <c r="F228" s="51"/>
      <c r="G228" s="51"/>
      <c r="K228" s="52"/>
      <c r="L228" s="52"/>
      <c r="M228" s="50"/>
      <c r="N228" s="51"/>
      <c r="Q228" s="52"/>
      <c r="R228" s="52"/>
      <c r="S228" s="50"/>
      <c r="T228" s="51"/>
      <c r="W228" s="52"/>
      <c r="X228" s="52"/>
      <c r="Y228" s="50"/>
      <c r="Z228" s="51"/>
      <c r="AA228" s="51"/>
      <c r="AE228" s="52"/>
      <c r="AF228" s="52"/>
      <c r="AG228" s="50"/>
      <c r="AH228" s="51"/>
      <c r="AK228" s="52"/>
      <c r="AL228" s="52"/>
      <c r="AM228" s="50"/>
      <c r="AN228" s="51"/>
      <c r="AQ228" s="52"/>
      <c r="AR228" s="52"/>
      <c r="AS228" s="50"/>
      <c r="AT228" s="51"/>
      <c r="AW228" s="52"/>
      <c r="AX228" s="52"/>
      <c r="AY228" s="50"/>
      <c r="AZ228" s="51"/>
    </row>
    <row r="229">
      <c r="C229" s="52"/>
      <c r="D229" s="52"/>
      <c r="E229" s="50"/>
      <c r="F229" s="51"/>
      <c r="G229" s="51"/>
      <c r="K229" s="52"/>
      <c r="L229" s="52"/>
      <c r="M229" s="50"/>
      <c r="N229" s="51"/>
      <c r="Q229" s="52"/>
      <c r="R229" s="52"/>
      <c r="S229" s="50"/>
      <c r="T229" s="51"/>
      <c r="W229" s="52"/>
      <c r="X229" s="52"/>
      <c r="Y229" s="50"/>
      <c r="Z229" s="51"/>
      <c r="AA229" s="51"/>
      <c r="AE229" s="52"/>
      <c r="AF229" s="52"/>
      <c r="AG229" s="50"/>
      <c r="AH229" s="51"/>
      <c r="AK229" s="52"/>
      <c r="AL229" s="52"/>
      <c r="AM229" s="50"/>
      <c r="AN229" s="51"/>
      <c r="AQ229" s="52"/>
      <c r="AR229" s="52"/>
      <c r="AS229" s="50"/>
      <c r="AT229" s="51"/>
      <c r="AW229" s="52"/>
      <c r="AX229" s="52"/>
      <c r="AY229" s="50"/>
      <c r="AZ229" s="51"/>
    </row>
    <row r="230">
      <c r="C230" s="52"/>
      <c r="D230" s="52"/>
      <c r="E230" s="50"/>
      <c r="F230" s="51"/>
      <c r="G230" s="51"/>
      <c r="K230" s="52"/>
      <c r="L230" s="52"/>
      <c r="M230" s="50"/>
      <c r="N230" s="51"/>
      <c r="Q230" s="52"/>
      <c r="R230" s="52"/>
      <c r="S230" s="50"/>
      <c r="T230" s="51"/>
      <c r="W230" s="52"/>
      <c r="X230" s="52"/>
      <c r="Y230" s="50"/>
      <c r="Z230" s="51"/>
      <c r="AA230" s="51"/>
      <c r="AE230" s="52"/>
      <c r="AF230" s="52"/>
      <c r="AG230" s="50"/>
      <c r="AH230" s="51"/>
      <c r="AK230" s="52"/>
      <c r="AL230" s="52"/>
      <c r="AM230" s="50"/>
      <c r="AN230" s="51"/>
      <c r="AQ230" s="52"/>
      <c r="AR230" s="52"/>
      <c r="AS230" s="50"/>
      <c r="AT230" s="51"/>
      <c r="AW230" s="52"/>
      <c r="AX230" s="52"/>
      <c r="AY230" s="50"/>
      <c r="AZ230" s="51"/>
    </row>
    <row r="231">
      <c r="C231" s="52"/>
      <c r="D231" s="52"/>
      <c r="E231" s="50"/>
      <c r="F231" s="51"/>
      <c r="G231" s="51"/>
      <c r="K231" s="52"/>
      <c r="L231" s="52"/>
      <c r="M231" s="50"/>
      <c r="N231" s="51"/>
      <c r="Q231" s="52"/>
      <c r="R231" s="52"/>
      <c r="S231" s="50"/>
      <c r="T231" s="51"/>
      <c r="W231" s="52"/>
      <c r="X231" s="52"/>
      <c r="Y231" s="50"/>
      <c r="Z231" s="51"/>
      <c r="AA231" s="51"/>
      <c r="AE231" s="52"/>
      <c r="AF231" s="52"/>
      <c r="AG231" s="50"/>
      <c r="AH231" s="51"/>
      <c r="AK231" s="52"/>
      <c r="AL231" s="52"/>
      <c r="AM231" s="50"/>
      <c r="AN231" s="51"/>
      <c r="AQ231" s="52"/>
      <c r="AR231" s="52"/>
      <c r="AS231" s="50"/>
      <c r="AT231" s="51"/>
      <c r="AW231" s="52"/>
      <c r="AX231" s="52"/>
      <c r="AY231" s="50"/>
      <c r="AZ231" s="51"/>
    </row>
    <row r="232">
      <c r="C232" s="52"/>
      <c r="D232" s="52"/>
      <c r="E232" s="50"/>
      <c r="F232" s="51"/>
      <c r="G232" s="51"/>
      <c r="K232" s="52"/>
      <c r="L232" s="52"/>
      <c r="M232" s="50"/>
      <c r="N232" s="51"/>
      <c r="Q232" s="52"/>
      <c r="R232" s="52"/>
      <c r="S232" s="50"/>
      <c r="T232" s="51"/>
      <c r="W232" s="52"/>
      <c r="X232" s="52"/>
      <c r="Y232" s="50"/>
      <c r="Z232" s="51"/>
      <c r="AA232" s="51"/>
      <c r="AE232" s="52"/>
      <c r="AF232" s="52"/>
      <c r="AG232" s="50"/>
      <c r="AH232" s="51"/>
      <c r="AK232" s="52"/>
      <c r="AL232" s="52"/>
      <c r="AM232" s="50"/>
      <c r="AN232" s="51"/>
      <c r="AQ232" s="52"/>
      <c r="AR232" s="52"/>
      <c r="AS232" s="50"/>
      <c r="AT232" s="51"/>
      <c r="AW232" s="52"/>
      <c r="AX232" s="52"/>
      <c r="AY232" s="50"/>
      <c r="AZ232" s="51"/>
    </row>
    <row r="233">
      <c r="C233" s="52"/>
      <c r="D233" s="52"/>
      <c r="E233" s="50"/>
      <c r="F233" s="51"/>
      <c r="G233" s="51"/>
      <c r="K233" s="52"/>
      <c r="L233" s="52"/>
      <c r="M233" s="50"/>
      <c r="N233" s="51"/>
      <c r="Q233" s="52"/>
      <c r="R233" s="52"/>
      <c r="S233" s="50"/>
      <c r="T233" s="51"/>
      <c r="W233" s="52"/>
      <c r="X233" s="52"/>
      <c r="Y233" s="50"/>
      <c r="Z233" s="51"/>
      <c r="AA233" s="51"/>
      <c r="AE233" s="52"/>
      <c r="AF233" s="52"/>
      <c r="AG233" s="50"/>
      <c r="AH233" s="51"/>
      <c r="AK233" s="52"/>
      <c r="AL233" s="52"/>
      <c r="AM233" s="50"/>
      <c r="AN233" s="51"/>
      <c r="AQ233" s="52"/>
      <c r="AR233" s="52"/>
      <c r="AS233" s="50"/>
      <c r="AT233" s="51"/>
      <c r="AW233" s="52"/>
      <c r="AX233" s="52"/>
      <c r="AY233" s="50"/>
      <c r="AZ233" s="51"/>
    </row>
  </sheetData>
  <mergeCells count="17">
    <mergeCell ref="AP5:AT5"/>
    <mergeCell ref="AV5:AZ5"/>
    <mergeCell ref="C141:C152"/>
    <mergeCell ref="K141:K152"/>
    <mergeCell ref="Q141:Q152"/>
    <mergeCell ref="W141:W152"/>
    <mergeCell ref="AE141:AE152"/>
    <mergeCell ref="AK141:AK152"/>
    <mergeCell ref="AQ141:AQ152"/>
    <mergeCell ref="AW141:AW152"/>
    <mergeCell ref="A1:D1"/>
    <mergeCell ref="B5:F5"/>
    <mergeCell ref="J5:N5"/>
    <mergeCell ref="P5:T5"/>
    <mergeCell ref="V5:Z5"/>
    <mergeCell ref="AD5:AH5"/>
    <mergeCell ref="AJ5:AN5"/>
  </mergeCells>
  <conditionalFormatting sqref="B3:B159 J3:J159 P3:P159 V3:V159 AD3:AD159 AJ3:AJ159 AP3:AP159 AV3:AV159">
    <cfRule type="colorScale" priority="1">
      <colorScale>
        <cfvo type="min"/>
        <cfvo type="max"/>
        <color rgb="FFFFFFFF"/>
        <color rgb="FF57BB8A"/>
      </colorScale>
    </cfRule>
  </conditionalFormatting>
  <conditionalFormatting sqref="B3:B159 J3:J159 P3:P159 V3:V159 AD3:AD159 AJ3:AJ159 AP3:AP159 AV3:AV159">
    <cfRule type="containsText" dxfId="0" priority="2" operator="containsText" text="nccl">
      <formula>NOT(ISERROR(SEARCH(("nccl"),(B3))))</formula>
    </cfRule>
  </conditionalFormatting>
  <conditionalFormatting sqref="B3:B159 J3:J159 P3:P159 V3:V159 AD3:AD159 AJ3:AJ159 AP3:AP159 AV3:AV159">
    <cfRule type="containsText" dxfId="1" priority="3" operator="containsText" text="moe">
      <formula>NOT(ISERROR(SEARCH(("moe"),(B3))))</formula>
    </cfRule>
  </conditionalFormatting>
  <conditionalFormatting sqref="B3:B159 J3:J159 P3:P159 V3:V159 AD3:AD159 AJ3:AJ159 AP3:AP159 AV3:AV159">
    <cfRule type="containsText" dxfId="2" priority="4" operator="containsText" text="_gemm">
      <formula>NOT(ISERROR(SEARCH(("_gemm"),(B3))))</formula>
    </cfRule>
  </conditionalFormatting>
  <conditionalFormatting sqref="B3:B159 J3:J159 P3:P159 V3:V159 AD3:AD159 AJ3:AJ159 AP3:AP159 AV3:AV159">
    <cfRule type="containsText" dxfId="2" priority="5" operator="containsText" text="Cijk_Alik">
      <formula>NOT(ISERROR(SEARCH(("Cijk_Alik"),(B3))))</formula>
    </cfRule>
  </conditionalFormatting>
  <conditionalFormatting sqref="B3:B159 J3:J159 P3:P159 V3:V159 AD3:AD159 AJ3:AJ159 AP3:AP159 AV3:AV159">
    <cfRule type="containsText" dxfId="2" priority="6" operator="containsText" text="_dynamic_mxfp4_quant_kernel">
      <formula>NOT(ISERROR(SEARCH(("_dynamic_mxfp4_quant_kernel"),(B3))))</formula>
    </cfRule>
  </conditionalFormatting>
  <conditionalFormatting sqref="B3:B159 J3:J159 P3:P159 V3:V159 AD3:AD159 AJ3:AJ159 AP3:AP159 AV3:AV159">
    <cfRule type="containsText" dxfId="2" priority="7" operator="containsText" text="hgemm">
      <formula>NOT(ISERROR(SEARCH(("hgemm"),(B3))))</formula>
    </cfRule>
  </conditionalFormatting>
  <conditionalFormatting sqref="B3:B159 J3:J159 P3:P159 V3:V159 AD3:AD159 AJ3:AJ159 AP3:AP159 AV3:AV159">
    <cfRule type="containsText" dxfId="2" priority="8" operator="containsText" text="bf16gemm">
      <formula>NOT(ISERROR(SEARCH(("bf16gemm"),(B3))))</formula>
    </cfRule>
  </conditionalFormatting>
  <conditionalFormatting sqref="B3:B159 J3:J159 P3:P159 V3:V159 AD3:AD159 AJ3:AJ159 AP3:AP159 AV3:AV159">
    <cfRule type="containsText" dxfId="3" priority="9" operator="containsText" text="_fwd_kernel_stage2">
      <formula>NOT(ISERROR(SEARCH(("_fwd_kernel_stage2"),(B3))))</formula>
    </cfRule>
  </conditionalFormatting>
  <conditionalFormatting sqref="B3:B159 J3:J159 P3:P159 V3:V159 AD3:AD159 AJ3:AJ159 AP3:AP159 AV3:AV159">
    <cfRule type="containsText" dxfId="3" priority="10" operator="containsText" text="mla">
      <formula>NOT(ISERROR(SEARCH(("mla"),(B3))))</formula>
    </cfRule>
  </conditionalFormatting>
  <conditionalFormatting sqref="B3:B159 J3:J159 P3:P159 V3:V159 AD3:AD159 AJ3:AJ159 AP3:AP159 AV3:AV159">
    <cfRule type="containsText" dxfId="3" priority="11" operator="containsText" text="get_paged_kv_indices_impl">
      <formula>NOT(ISERROR(SEARCH(("get_paged_kv_indices_impl"),(B3))))</formula>
    </cfRule>
  </conditionalFormatting>
  <conditionalFormatting sqref="B3:B159 J3:J159 P3:P159 V3:V159 AD3:AD159 AJ3:AJ159 AP3:AP159 AV3:AV159">
    <cfRule type="containsText" dxfId="4" priority="12" operator="containsText" text="topKPerRowDecode">
      <formula>NOT(ISERROR(SEARCH(("topKPerRowDecode"),(B3))))</formula>
    </cfRule>
  </conditionalFormatting>
  <conditionalFormatting sqref="B3:B159 J3:J159 P3:P159 V3:V159 AD3:AD159 AJ3:AJ159 AP3:AP159 AV3:AV159">
    <cfRule type="containsText" dxfId="4" priority="13" operator="containsText" text="_gluon_deepgemm_fp8_paged_mqa_logits_preshuffle">
      <formula>NOT(ISERROR(SEARCH(("_gluon_deepgemm_fp8_paged_mqa_logits_preshuffle"),(B3))))</formula>
    </cfRule>
  </conditionalFormatting>
  <conditionalFormatting sqref="B3:B159 J3:J159 P3:P159 V3:V159 AD3:AD159 AJ3:AJ159 AP3:AP159 AV3:AV159">
    <cfRule type="containsText" dxfId="4" priority="14" operator="containsText" text="topKPerRowPrefill">
      <formula>NOT(ISERROR(SEARCH(("topKPerRowPrefill"),(B3))))</formula>
    </cfRule>
  </conditionalFormatting>
  <conditionalFormatting sqref="B3:B159 J3:J159 P3:P159 V3:V159 AD3:AD159 AJ3:AJ159 AP3:AP159 AV3:AV159">
    <cfRule type="containsText" dxfId="4" priority="15" operator="containsText" text="FP8MQALogits">
      <formula>NOT(ISERROR(SEARCH(("FP8MQALogits"),(B3))))</formula>
    </cfRule>
  </conditionalFormatting>
  <hyperlinks>
    <hyperlink r:id="rId1" ref="A1"/>
  </hyperlinks>
  <drawing r:id="rId2"/>
</worksheet>
</file>